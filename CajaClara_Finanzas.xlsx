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Dashboard" sheetId="2" state="visible" r:id="rId2"/>
    <sheet name="Movimientos" sheetId="3" state="visible" r:id="rId3"/>
    <sheet name="Categorías" sheetId="4" state="visible" r:id="rId4"/>
    <sheet name="Cuentas" sheetId="5" state="visible" r:id="rId5"/>
    <sheet name="Presupuestos" sheetId="6" state="visible" r:id="rId6"/>
    <sheet name="Histórico_mensual" sheetId="7" state="visible" r:id="rId7"/>
  </sheets>
  <definedNames>
    <definedName name="_xlnm._FilterDatabase" localSheetId="2" hidden="1">'Movimientos'!$A$1:$F$216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18">
    <font>
      <name val="Calibri"/>
      <family val="2"/>
      <color theme="1"/>
      <sz val="11"/>
      <scheme val="minor"/>
    </font>
    <font>
      <name val="Calibri"/>
      <b val="1"/>
      <color rgb="001B5E4A"/>
      <sz val="28"/>
    </font>
    <font>
      <name val="Calibri"/>
      <color rgb="005A6B64"/>
      <sz val="14"/>
    </font>
    <font>
      <name val="Calibri"/>
      <b val="1"/>
      <color rgb="001B5E4A"/>
      <sz val="14"/>
    </font>
    <font>
      <name val="Calibri"/>
      <color rgb="001A2421"/>
      <sz val="11"/>
    </font>
    <font>
      <name val="Calibri"/>
      <b val="1"/>
      <color rgb="00FFFFFF"/>
      <sz val="11"/>
    </font>
    <font>
      <name val="Calibri"/>
      <color rgb="00FFFFFF"/>
      <sz val="10"/>
    </font>
    <font>
      <name val="Calibri"/>
      <b val="1"/>
      <color rgb="001B5E4A"/>
      <sz val="11"/>
    </font>
    <font>
      <name val="Calibri"/>
      <b val="1"/>
      <color rgb="001B5E4A"/>
      <sz val="12"/>
    </font>
    <font>
      <name val="Calibri"/>
      <color rgb="002A7A5C"/>
      <sz val="11"/>
    </font>
    <font>
      <name val="Calibri"/>
      <color rgb="00B54A3A"/>
      <sz val="11"/>
    </font>
    <font>
      <name val="Calibri"/>
      <b val="1"/>
      <color rgb="00FFFFFF"/>
      <sz val="22"/>
    </font>
    <font>
      <name val="Calibri"/>
      <b val="1"/>
      <color rgb="005A6B64"/>
      <sz val="10"/>
    </font>
    <font>
      <name val="Calibri"/>
      <color rgb="005A6B64"/>
      <sz val="10"/>
    </font>
    <font>
      <name val="Calibri"/>
      <b val="1"/>
      <color rgb="001A2421"/>
      <sz val="18"/>
    </font>
    <font>
      <name val="Calibri"/>
      <b val="1"/>
      <color rgb="002A7A5C"/>
      <sz val="18"/>
    </font>
    <font>
      <name val="Calibri"/>
      <b val="1"/>
      <color rgb="00B54A3A"/>
      <sz val="18"/>
    </font>
    <font>
      <name val="Calibri"/>
      <b val="1"/>
      <color rgb="001B5E4A"/>
      <sz val="18"/>
    </font>
  </fonts>
  <fills count="16">
    <fill>
      <patternFill/>
    </fill>
    <fill>
      <patternFill patternType="gray125"/>
    </fill>
    <fill>
      <patternFill patternType="solid">
        <fgColor rgb="001B5E4A"/>
      </patternFill>
    </fill>
    <fill>
      <patternFill patternType="solid">
        <fgColor rgb="002A7A5C"/>
      </patternFill>
    </fill>
    <fill>
      <patternFill patternType="solid">
        <fgColor rgb="003D8B6E"/>
      </patternFill>
    </fill>
    <fill>
      <patternFill patternType="solid">
        <fgColor rgb="005BA88A"/>
      </patternFill>
    </fill>
    <fill>
      <patternFill patternType="solid">
        <fgColor rgb="004A6B8A"/>
      </patternFill>
    </fill>
    <fill>
      <patternFill patternType="solid">
        <fgColor rgb="00C47A3A"/>
      </patternFill>
    </fill>
    <fill>
      <patternFill patternType="solid">
        <fgColor rgb="006B7C8A"/>
      </patternFill>
    </fill>
    <fill>
      <patternFill patternType="solid">
        <fgColor rgb="007A6B9A"/>
      </patternFill>
    </fill>
    <fill>
      <patternFill patternType="solid">
        <fgColor rgb="00B54A5A"/>
      </patternFill>
    </fill>
    <fill>
      <patternFill patternType="solid">
        <fgColor rgb="003A8A9A"/>
      </patternFill>
    </fill>
    <fill>
      <patternFill patternType="solid">
        <fgColor rgb="009A6B4A"/>
      </patternFill>
    </fill>
    <fill>
      <patternFill patternType="solid">
        <fgColor rgb="006B726E"/>
      </patternFill>
    </fill>
    <fill>
      <patternFill patternType="solid">
        <fgColor rgb="00F3F7F5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5DED9"/>
      </left>
      <right style="thin">
        <color rgb="00D5DED9"/>
      </right>
      <top style="thin">
        <color rgb="00D5DED9"/>
      </top>
      <bottom style="thin">
        <color rgb="00D5DED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1" fillId="2" borderId="0" applyAlignment="1" pivotButton="0" quotePrefix="0" xfId="0">
      <alignment horizontal="left" vertical="center"/>
    </xf>
    <xf numFmtId="0" fontId="12" fillId="0" borderId="0" pivotButton="0" quotePrefix="0" xfId="0"/>
    <xf numFmtId="0" fontId="8" fillId="14" borderId="1" applyAlignment="1" pivotButton="0" quotePrefix="0" xfId="0">
      <alignment horizontal="center"/>
    </xf>
    <xf numFmtId="0" fontId="13" fillId="0" borderId="0" pivotButton="0" quotePrefix="0" xfId="0"/>
    <xf numFmtId="164" fontId="14" fillId="15" borderId="1" applyAlignment="1" pivotButton="0" quotePrefix="0" xfId="0">
      <alignment horizontal="right"/>
    </xf>
    <xf numFmtId="164" fontId="15" fillId="15" borderId="1" applyAlignment="1" pivotButton="0" quotePrefix="0" xfId="0">
      <alignment horizontal="right"/>
    </xf>
    <xf numFmtId="164" fontId="16" fillId="15" borderId="1" applyAlignment="1" pivotButton="0" quotePrefix="0" xfId="0">
      <alignment horizontal="right"/>
    </xf>
    <xf numFmtId="9" fontId="17" fillId="1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pivotButton="0" quotePrefix="0" xfId="0"/>
    <xf numFmtId="164" fontId="9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0" fontId="6" fillId="3" borderId="1" pivotButton="0" quotePrefix="0" xfId="0"/>
    <xf numFmtId="0" fontId="6" fillId="4" borderId="1" pivotButton="0" quotePrefix="0" xfId="0"/>
    <xf numFmtId="0" fontId="6" fillId="5" borderId="1" pivotButton="0" quotePrefix="0" xfId="0"/>
    <xf numFmtId="0" fontId="6" fillId="6" borderId="1" pivotButton="0" quotePrefix="0" xfId="0"/>
    <xf numFmtId="0" fontId="6" fillId="7" borderId="1" pivotButton="0" quotePrefix="0" xfId="0"/>
    <xf numFmtId="0" fontId="6" fillId="8" borderId="1" pivotButton="0" quotePrefix="0" xfId="0"/>
    <xf numFmtId="0" fontId="6" fillId="9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7" fillId="0" borderId="0" pivotButton="0" quotePrefix="0" xfId="0"/>
    <xf numFmtId="164" fontId="8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name val="Calibri"/>
        <b val="1"/>
        <color rgb="00B54A3A"/>
        <sz val="11"/>
      </font>
      <fill>
        <patternFill patternType="solid">
          <fgColor rgb="00F8D7D3"/>
        </patternFill>
      </fill>
    </dxf>
    <dxf>
      <font>
        <name val="Calibri"/>
        <b val="1"/>
        <color rgb="00C47A3A"/>
        <sz val="11"/>
      </font>
      <fill>
        <patternFill patternType="solid">
          <fgColor rgb="00FBE8D5"/>
        </patternFill>
      </fill>
    </dxf>
    <dxf>
      <font>
        <name val="Calibri"/>
        <b val="1"/>
        <color rgb="002A7A5C"/>
        <sz val="11"/>
      </font>
      <fill>
        <patternFill patternType="solid">
          <fgColor rgb="00D8E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de gastos</a:t>
            </a:r>
          </a:p>
        </rich>
      </tx>
    </title>
    <plotArea>
      <pieChart>
        <varyColors val="1"/>
        <ser>
          <idx val="0"/>
          <order val="0"/>
          <tx>
            <strRef>
              <f>'Dashboard'!B9</f>
            </strRef>
          </tx>
          <spPr>
            <a:ln>
              <a:prstDash val="solid"/>
            </a:ln>
          </spPr>
          <cat>
            <numRef>
              <f>'Dashboard'!$A$10:$A$17</f>
            </numRef>
          </cat>
          <val>
            <numRef>
              <f>'Dashboard'!$B$10:$B$17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Flujo de caja (histórico)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'Histórico_mensual'!B1</f>
            </strRef>
          </tx>
          <spPr>
            <a:ln>
              <a:prstDash val="solid"/>
            </a:ln>
          </spPr>
          <cat>
            <numRef>
              <f>'Histórico_mensual'!$A$2:$A$7</f>
            </numRef>
          </cat>
          <val>
            <numRef>
              <f>'Histórico_mensual'!$B$2:$B$7</f>
            </numRef>
          </val>
        </ser>
        <ser>
          <idx val="1"/>
          <order val="1"/>
          <tx>
            <strRef>
              <f>'Histórico_mensual'!C1</f>
            </strRef>
          </tx>
          <spPr>
            <a:ln>
              <a:prstDash val="solid"/>
            </a:ln>
          </spPr>
          <cat>
            <numRef>
              <f>'Histórico_mensual'!$A$2:$A$7</f>
            </numRef>
          </cat>
          <val>
            <numRef>
              <f>'Histórico_mensual'!$C$2:$C$7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6" customHeight="1">
      <c r="A1" s="1" t="inlineStr">
        <is>
          <t>CajaClara</t>
        </is>
      </c>
    </row>
    <row r="2">
      <c r="A2" s="2" t="inlineStr">
        <is>
          <t>Plantilla Excel para control de finanzas personales</t>
        </is>
      </c>
    </row>
    <row r="4">
      <c r="A4" s="3" t="inlineStr">
        <is>
          <t>Cómo usarla</t>
        </is>
      </c>
    </row>
    <row r="5">
      <c r="A5" s="4" t="inlineStr">
        <is>
          <t>1. Abre Movimientos y registra cada ingreso o gasto (fecha, descripción, tipo, categoría, cuenta y monto).</t>
        </is>
      </c>
    </row>
    <row r="6">
      <c r="A6" s="4" t="inlineStr">
        <is>
          <t>2. Ajusta Categorías y Cuentas. Puedes añadir filas al final de cada lista.</t>
        </is>
      </c>
    </row>
    <row r="7">
      <c r="A7" s="4" t="inlineStr">
        <is>
          <t>3. Define límites mensuales en Presupuestos.</t>
        </is>
      </c>
    </row>
    <row r="8">
      <c r="A8" s="4" t="inlineStr">
        <is>
          <t>4. En Dashboard cambia Mes (B2) y Año (D2): los KPIs, el pastel y los presupuestos se recalculan solos.</t>
        </is>
      </c>
    </row>
    <row r="9">
      <c r="A9" s="4" t="inlineStr">
        <is>
          <t>5. Edita Histórico_mensual para el gráfico de barras de flujo de caja.</t>
        </is>
      </c>
    </row>
    <row r="11">
      <c r="A11" s="3" t="inlineStr">
        <is>
          <t>Hojas</t>
        </is>
      </c>
    </row>
    <row r="12">
      <c r="A12" s="4" t="inlineStr">
        <is>
          <t>• Dashboard — resumen del mes con KPIs y gráficos</t>
        </is>
      </c>
    </row>
    <row r="13">
      <c r="A13" s="4" t="inlineStr">
        <is>
          <t>• Movimientos — registro de transacciones (fuente de verdad)</t>
        </is>
      </c>
    </row>
    <row r="14">
      <c r="A14" s="4" t="inlineStr">
        <is>
          <t>• Categorías / Cuentas / Presupuestos — catálogos y límites</t>
        </is>
      </c>
    </row>
    <row r="15">
      <c r="A15" s="4" t="inlineStr">
        <is>
          <t>• Histórico_mensual — ingresos y gastos por mes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</cols>
  <sheetData>
    <row r="1" ht="42" customHeight="1">
      <c r="A1" s="5" t="inlineStr">
        <is>
          <t>CajaClara · Dashboard financiero</t>
        </is>
      </c>
    </row>
    <row r="2">
      <c r="A2" s="6" t="inlineStr">
        <is>
          <t>Mes</t>
        </is>
      </c>
      <c r="B2" s="7" t="n">
        <v>10</v>
      </c>
      <c r="C2" s="6" t="inlineStr">
        <is>
          <t>Año</t>
        </is>
      </c>
      <c r="D2" s="7" t="n">
        <v>2026</v>
      </c>
      <c r="E2" s="8" t="inlineStr">
        <is>
          <t>Cambia Mes (B2) y Año (D2) para filtrar el resumen.</t>
        </is>
      </c>
    </row>
    <row r="3">
      <c r="A3" s="6" t="inlineStr">
        <is>
          <t>Año (fórmulas)</t>
        </is>
      </c>
      <c r="B3" s="7">
        <f>D2</f>
        <v/>
      </c>
    </row>
    <row r="5">
      <c r="A5" s="8" t="inlineStr">
        <is>
          <t>Balance total (cuentas)</t>
        </is>
      </c>
      <c r="C5" s="8" t="inlineStr">
        <is>
          <t>Ingresos del mes</t>
        </is>
      </c>
      <c r="E5" s="8" t="inlineStr">
        <is>
          <t>Gastos del mes</t>
        </is>
      </c>
      <c r="G5" s="8" t="inlineStr">
        <is>
          <t>Tasa de ahorro</t>
        </is>
      </c>
    </row>
    <row r="6" ht="32" customHeight="1">
      <c r="A6" s="9">
        <f>Cuentas!C5</f>
        <v/>
      </c>
      <c r="C6" s="10">
        <f>SUMIFS(Movimientos!F:F,Movimientos!C:C,"Ingreso",Movimientos!A:A,"&gt;="&amp;DATE(B3,B2,1),Movimientos!A:A,"&lt;"&amp;DATE(B3,B2+1,1))</f>
        <v/>
      </c>
      <c r="E6" s="11">
        <f>SUMIFS(Movimientos!F:F,Movimientos!C:C,"Gasto",Movimientos!A:A,"&gt;="&amp;DATE(B3,B2,1),Movimientos!A:A,"&lt;"&amp;DATE(B3,B2+1,1))</f>
        <v/>
      </c>
      <c r="G6" s="12">
        <f>IF(C6=0,0,(C6-E6)/C6)</f>
        <v/>
      </c>
    </row>
    <row r="8">
      <c r="A8" s="3" t="inlineStr">
        <is>
          <t>Gastos por categoría (mes)</t>
        </is>
      </c>
    </row>
    <row r="9">
      <c r="A9" s="13" t="inlineStr">
        <is>
          <t>Categoría</t>
        </is>
      </c>
      <c r="B9" s="13" t="inlineStr">
        <is>
          <t>Gastado</t>
        </is>
      </c>
    </row>
    <row r="10">
      <c r="A10" s="14" t="inlineStr">
        <is>
          <t>Vivienda</t>
        </is>
      </c>
      <c r="B10" s="15">
        <f>SUMIFS(Movimientos!$F:$F,Movimientos!$D:$D,A10,Movimientos!$C:$C,"Gasto",Movimientos!$A:$A,"&gt;="&amp;DATE($B$3,$B$2,1),Movimientos!$A:$A,"&lt;"&amp;DATE($B$3,$B$2+1,1))</f>
        <v/>
      </c>
    </row>
    <row r="11">
      <c r="A11" s="14" t="inlineStr">
        <is>
          <t>Alimentación</t>
        </is>
      </c>
      <c r="B11" s="15">
        <f>SUMIFS(Movimientos!$F:$F,Movimientos!$D:$D,A11,Movimientos!$C:$C,"Gasto",Movimientos!$A:$A,"&gt;="&amp;DATE($B$3,$B$2,1),Movimientos!$A:$A,"&lt;"&amp;DATE($B$3,$B$2+1,1))</f>
        <v/>
      </c>
    </row>
    <row r="12">
      <c r="A12" s="14" t="inlineStr">
        <is>
          <t>Transporte</t>
        </is>
      </c>
      <c r="B12" s="15">
        <f>SUMIFS(Movimientos!$F:$F,Movimientos!$D:$D,A12,Movimientos!$C:$C,"Gasto",Movimientos!$A:$A,"&gt;="&amp;DATE($B$3,$B$2,1),Movimientos!$A:$A,"&lt;"&amp;DATE($B$3,$B$2+1,1))</f>
        <v/>
      </c>
    </row>
    <row r="13">
      <c r="A13" s="14" t="inlineStr">
        <is>
          <t>Servicios</t>
        </is>
      </c>
      <c r="B13" s="15">
        <f>SUMIFS(Movimientos!$F:$F,Movimientos!$D:$D,A13,Movimientos!$C:$C,"Gasto",Movimientos!$A:$A,"&gt;="&amp;DATE($B$3,$B$2,1),Movimientos!$A:$A,"&lt;"&amp;DATE($B$3,$B$2+1,1))</f>
        <v/>
      </c>
    </row>
    <row r="14">
      <c r="A14" s="14" t="inlineStr">
        <is>
          <t>Salud</t>
        </is>
      </c>
      <c r="B14" s="15">
        <f>SUMIFS(Movimientos!$F:$F,Movimientos!$D:$D,A14,Movimientos!$C:$C,"Gasto",Movimientos!$A:$A,"&gt;="&amp;DATE($B$3,$B$2,1),Movimientos!$A:$A,"&lt;"&amp;DATE($B$3,$B$2+1,1))</f>
        <v/>
      </c>
    </row>
    <row r="15">
      <c r="A15" s="14" t="inlineStr">
        <is>
          <t>Ocio</t>
        </is>
      </c>
      <c r="B15" s="15">
        <f>SUMIFS(Movimientos!$F:$F,Movimientos!$D:$D,A15,Movimientos!$C:$C,"Gasto",Movimientos!$A:$A,"&gt;="&amp;DATE($B$3,$B$2,1),Movimientos!$A:$A,"&lt;"&amp;DATE($B$3,$B$2+1,1))</f>
        <v/>
      </c>
    </row>
    <row r="16">
      <c r="A16" s="14" t="inlineStr">
        <is>
          <t>Compras</t>
        </is>
      </c>
      <c r="B16" s="15">
        <f>SUMIFS(Movimientos!$F:$F,Movimientos!$D:$D,A16,Movimientos!$C:$C,"Gasto",Movimientos!$A:$A,"&gt;="&amp;DATE($B$3,$B$2,1),Movimientos!$A:$A,"&lt;"&amp;DATE($B$3,$B$2+1,1))</f>
        <v/>
      </c>
    </row>
    <row r="17">
      <c r="A17" s="14" t="inlineStr">
        <is>
          <t>Otros</t>
        </is>
      </c>
      <c r="B17" s="15">
        <f>SUMIFS(Movimientos!$F:$F,Movimientos!$D:$D,A17,Movimientos!$C:$C,"Gasto",Movimientos!$A:$A,"&gt;="&amp;DATE($B$3,$B$2,1),Movimientos!$A:$A,"&lt;"&amp;DATE($B$3,$B$2+1,1))</f>
        <v/>
      </c>
    </row>
    <row r="19">
      <c r="A19" s="3" t="inlineStr">
        <is>
          <t>Presupuestos del mes</t>
        </is>
      </c>
    </row>
    <row r="20">
      <c r="A20" s="16" t="inlineStr">
        <is>
          <t>Categoría</t>
        </is>
      </c>
      <c r="B20" s="16" t="inlineStr">
        <is>
          <t>Límite</t>
        </is>
      </c>
      <c r="C20" s="16" t="inlineStr">
        <is>
          <t>Gastado</t>
        </is>
      </c>
      <c r="D20" s="16" t="inlineStr">
        <is>
          <t>% usado</t>
        </is>
      </c>
      <c r="E20" s="16" t="inlineStr">
        <is>
          <t>Estado</t>
        </is>
      </c>
    </row>
    <row r="21">
      <c r="A21" s="14">
        <f>Presupuestos!A2</f>
        <v/>
      </c>
      <c r="B21" s="15">
        <f>Presupuestos!B2</f>
        <v/>
      </c>
      <c r="C21" s="15">
        <f>Presupuestos!C2</f>
        <v/>
      </c>
      <c r="D21" s="17">
        <f>Presupuestos!D2</f>
        <v/>
      </c>
      <c r="E21" s="18">
        <f>Presupuestos!E2</f>
        <v/>
      </c>
    </row>
    <row r="22">
      <c r="A22" s="14">
        <f>Presupuestos!A3</f>
        <v/>
      </c>
      <c r="B22" s="15">
        <f>Presupuestos!B3</f>
        <v/>
      </c>
      <c r="C22" s="15">
        <f>Presupuestos!C3</f>
        <v/>
      </c>
      <c r="D22" s="17">
        <f>Presupuestos!D3</f>
        <v/>
      </c>
      <c r="E22" s="18">
        <f>Presupuestos!E3</f>
        <v/>
      </c>
    </row>
    <row r="23">
      <c r="A23" s="14">
        <f>Presupuestos!A4</f>
        <v/>
      </c>
      <c r="B23" s="15">
        <f>Presupuestos!B4</f>
        <v/>
      </c>
      <c r="C23" s="15">
        <f>Presupuestos!C4</f>
        <v/>
      </c>
      <c r="D23" s="17">
        <f>Presupuestos!D4</f>
        <v/>
      </c>
      <c r="E23" s="18">
        <f>Presupuestos!E4</f>
        <v/>
      </c>
    </row>
    <row r="24">
      <c r="A24" s="14">
        <f>Presupuestos!A5</f>
        <v/>
      </c>
      <c r="B24" s="15">
        <f>Presupuestos!B5</f>
        <v/>
      </c>
      <c r="C24" s="15">
        <f>Presupuestos!C5</f>
        <v/>
      </c>
      <c r="D24" s="17">
        <f>Presupuestos!D5</f>
        <v/>
      </c>
      <c r="E24" s="18">
        <f>Presupuestos!E5</f>
        <v/>
      </c>
    </row>
    <row r="25">
      <c r="A25" s="14">
        <f>Presupuestos!A6</f>
        <v/>
      </c>
      <c r="B25" s="15">
        <f>Presupuestos!B6</f>
        <v/>
      </c>
      <c r="C25" s="15">
        <f>Presupuestos!C6</f>
        <v/>
      </c>
      <c r="D25" s="17">
        <f>Presupuestos!D6</f>
        <v/>
      </c>
      <c r="E25" s="18">
        <f>Presupuestos!E6</f>
        <v/>
      </c>
    </row>
    <row r="26">
      <c r="A26" s="14">
        <f>Presupuestos!A7</f>
        <v/>
      </c>
      <c r="B26" s="15">
        <f>Presupuestos!B7</f>
        <v/>
      </c>
      <c r="C26" s="15">
        <f>Presupuestos!C7</f>
        <v/>
      </c>
      <c r="D26" s="17">
        <f>Presupuestos!D7</f>
        <v/>
      </c>
      <c r="E26" s="18">
        <f>Presupuestos!E7</f>
        <v/>
      </c>
    </row>
    <row r="28">
      <c r="A28" s="3" t="inlineStr">
        <is>
          <t>Cómo registrar movimientos</t>
        </is>
      </c>
    </row>
    <row r="29">
      <c r="A29" s="8" t="inlineStr">
        <is>
          <t>Usa la hoja Movimientos (listas desplegables en Tipo, Categoría y Cuenta). El Dashboard se actualiza con fórmulas.</t>
        </is>
      </c>
    </row>
  </sheetData>
  <mergeCells count="12">
    <mergeCell ref="E6:F6"/>
    <mergeCell ref="C6:D6"/>
    <mergeCell ref="A28:F28"/>
    <mergeCell ref="C5:D5"/>
    <mergeCell ref="A5:B5"/>
    <mergeCell ref="G5:H5"/>
    <mergeCell ref="E5:F5"/>
    <mergeCell ref="A19:E19"/>
    <mergeCell ref="G6:H6"/>
    <mergeCell ref="A1:H1"/>
    <mergeCell ref="A8:B8"/>
    <mergeCell ref="A6:B6"/>
  </mergeCells>
  <conditionalFormatting sqref="E21:E26">
    <cfRule type="expression" priority="1" dxfId="0">
      <formula>E21="Excedido"</formula>
    </cfRule>
    <cfRule type="expression" priority="2" dxfId="1">
      <formula>E21="Alerta"</formula>
    </cfRule>
    <cfRule type="expression" priority="3" dxfId="2">
      <formula>E21="OK"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4" customWidth="1" min="4" max="4"/>
    <col width="18" customWidth="1" min="5" max="5"/>
    <col width="12" customWidth="1" min="6" max="6"/>
  </cols>
  <sheetData>
    <row r="1">
      <c r="A1" s="13" t="inlineStr">
        <is>
          <t>Fecha</t>
        </is>
      </c>
      <c r="B1" s="13" t="inlineStr">
        <is>
          <t>Descripción</t>
        </is>
      </c>
      <c r="C1" s="13" t="inlineStr">
        <is>
          <t>Tipo</t>
        </is>
      </c>
      <c r="D1" s="13" t="inlineStr">
        <is>
          <t>Categoría</t>
        </is>
      </c>
      <c r="E1" s="13" t="inlineStr">
        <is>
          <t>Cuenta</t>
        </is>
      </c>
      <c r="F1" s="13" t="inlineStr">
        <is>
          <t>Monto</t>
        </is>
      </c>
    </row>
    <row r="2">
      <c r="A2" s="19" t="inlineStr">
        <is>
          <t>2026-10-01</t>
        </is>
      </c>
      <c r="B2" s="14" t="inlineStr">
        <is>
          <t>Nómina octubre</t>
        </is>
      </c>
      <c r="C2" s="14" t="inlineStr">
        <is>
          <t>Ingreso</t>
        </is>
      </c>
      <c r="D2" s="14" t="inlineStr">
        <is>
          <t>Salario</t>
        </is>
      </c>
      <c r="E2" s="14" t="inlineStr">
        <is>
          <t>Cuenta corriente</t>
        </is>
      </c>
      <c r="F2" s="20" t="n">
        <v>2450</v>
      </c>
    </row>
    <row r="3">
      <c r="A3" s="19" t="inlineStr">
        <is>
          <t>2026-10-02</t>
        </is>
      </c>
      <c r="B3" s="14" t="inlineStr">
        <is>
          <t>Alquiler</t>
        </is>
      </c>
      <c r="C3" s="14" t="inlineStr">
        <is>
          <t>Gasto</t>
        </is>
      </c>
      <c r="D3" s="14" t="inlineStr">
        <is>
          <t>Vivienda</t>
        </is>
      </c>
      <c r="E3" s="14" t="inlineStr">
        <is>
          <t>Cuenta corriente</t>
        </is>
      </c>
      <c r="F3" s="21" t="n">
        <v>620</v>
      </c>
    </row>
    <row r="4">
      <c r="A4" s="19" t="inlineStr">
        <is>
          <t>2026-10-04</t>
        </is>
      </c>
      <c r="B4" s="14" t="inlineStr">
        <is>
          <t>Supermercado</t>
        </is>
      </c>
      <c r="C4" s="14" t="inlineStr">
        <is>
          <t>Gasto</t>
        </is>
      </c>
      <c r="D4" s="14" t="inlineStr">
        <is>
          <t>Alimentación</t>
        </is>
      </c>
      <c r="E4" s="14" t="inlineStr">
        <is>
          <t>Cuenta corriente</t>
        </is>
      </c>
      <c r="F4" s="21" t="n">
        <v>87.40000000000001</v>
      </c>
    </row>
    <row r="5">
      <c r="A5" s="19" t="inlineStr">
        <is>
          <t>2026-10-06</t>
        </is>
      </c>
      <c r="B5" s="14" t="inlineStr">
        <is>
          <t>Proyecto web</t>
        </is>
      </c>
      <c r="C5" s="14" t="inlineStr">
        <is>
          <t>Ingreso</t>
        </is>
      </c>
      <c r="D5" s="14" t="inlineStr">
        <is>
          <t>Freelance</t>
        </is>
      </c>
      <c r="E5" s="14" t="inlineStr">
        <is>
          <t>Cuenta corriente</t>
        </is>
      </c>
      <c r="F5" s="20" t="n">
        <v>480</v>
      </c>
    </row>
    <row r="6">
      <c r="A6" s="19" t="inlineStr">
        <is>
          <t>2026-10-07</t>
        </is>
      </c>
      <c r="B6" s="14" t="inlineStr">
        <is>
          <t>Gasolina</t>
        </is>
      </c>
      <c r="C6" s="14" t="inlineStr">
        <is>
          <t>Gasto</t>
        </is>
      </c>
      <c r="D6" s="14" t="inlineStr">
        <is>
          <t>Transporte</t>
        </is>
      </c>
      <c r="E6" s="14" t="inlineStr">
        <is>
          <t>Efectivo</t>
        </is>
      </c>
      <c r="F6" s="21" t="n">
        <v>42.5</v>
      </c>
    </row>
    <row r="7">
      <c r="A7" s="19" t="inlineStr">
        <is>
          <t>2026-10-08</t>
        </is>
      </c>
      <c r="B7" s="14" t="inlineStr">
        <is>
          <t>Luz y agua</t>
        </is>
      </c>
      <c r="C7" s="14" t="inlineStr">
        <is>
          <t>Gasto</t>
        </is>
      </c>
      <c r="D7" s="14" t="inlineStr">
        <is>
          <t>Servicios</t>
        </is>
      </c>
      <c r="E7" s="14" t="inlineStr">
        <is>
          <t>Cuenta corriente</t>
        </is>
      </c>
      <c r="F7" s="21" t="n">
        <v>98.2</v>
      </c>
    </row>
    <row r="8">
      <c r="A8" s="19" t="inlineStr">
        <is>
          <t>2026-10-10</t>
        </is>
      </c>
      <c r="B8" s="14" t="inlineStr">
        <is>
          <t>Cena fuera</t>
        </is>
      </c>
      <c r="C8" s="14" t="inlineStr">
        <is>
          <t>Gasto</t>
        </is>
      </c>
      <c r="D8" s="14" t="inlineStr">
        <is>
          <t>Alimentación</t>
        </is>
      </c>
      <c r="E8" s="14" t="inlineStr">
        <is>
          <t>Cuenta corriente</t>
        </is>
      </c>
      <c r="F8" s="21" t="n">
        <v>54.9</v>
      </c>
    </row>
    <row r="9">
      <c r="A9" s="19" t="inlineStr">
        <is>
          <t>2026-10-12</t>
        </is>
      </c>
      <c r="B9" s="14" t="inlineStr">
        <is>
          <t>Dividendos ETF</t>
        </is>
      </c>
      <c r="C9" s="14" t="inlineStr">
        <is>
          <t>Ingreso</t>
        </is>
      </c>
      <c r="D9" s="14" t="inlineStr">
        <is>
          <t>Inversiones</t>
        </is>
      </c>
      <c r="E9" s="14" t="inlineStr">
        <is>
          <t>Ahorros</t>
        </is>
      </c>
      <c r="F9" s="20" t="n">
        <v>65.3</v>
      </c>
    </row>
    <row r="10">
      <c r="A10" s="19" t="inlineStr">
        <is>
          <t>2026-10-14</t>
        </is>
      </c>
      <c r="B10" s="14" t="inlineStr">
        <is>
          <t>Farmacia</t>
        </is>
      </c>
      <c r="C10" s="14" t="inlineStr">
        <is>
          <t>Gasto</t>
        </is>
      </c>
      <c r="D10" s="14" t="inlineStr">
        <is>
          <t>Salud</t>
        </is>
      </c>
      <c r="E10" s="14" t="inlineStr">
        <is>
          <t>Efectivo</t>
        </is>
      </c>
      <c r="F10" s="21" t="n">
        <v>28.75</v>
      </c>
    </row>
    <row r="11">
      <c r="A11" s="19" t="inlineStr">
        <is>
          <t>2026-10-15</t>
        </is>
      </c>
      <c r="B11" s="14" t="inlineStr">
        <is>
          <t>Streaming + cine</t>
        </is>
      </c>
      <c r="C11" s="14" t="inlineStr">
        <is>
          <t>Gasto</t>
        </is>
      </c>
      <c r="D11" s="14" t="inlineStr">
        <is>
          <t>Ocio</t>
        </is>
      </c>
      <c r="E11" s="14" t="inlineStr">
        <is>
          <t>Cuenta corriente</t>
        </is>
      </c>
      <c r="F11" s="21" t="n">
        <v>36.99</v>
      </c>
    </row>
    <row r="12">
      <c r="A12" s="19" t="inlineStr">
        <is>
          <t>2026-10-18</t>
        </is>
      </c>
      <c r="B12" s="14" t="inlineStr">
        <is>
          <t>Ropa otoño</t>
        </is>
      </c>
      <c r="C12" s="14" t="inlineStr">
        <is>
          <t>Gasto</t>
        </is>
      </c>
      <c r="D12" s="14" t="inlineStr">
        <is>
          <t>Compras</t>
        </is>
      </c>
      <c r="E12" s="14" t="inlineStr">
        <is>
          <t>Cuenta corriente</t>
        </is>
      </c>
      <c r="F12" s="21" t="n">
        <v>119.9</v>
      </c>
    </row>
    <row r="13">
      <c r="A13" s="19" t="inlineStr">
        <is>
          <t>2026-10-20</t>
        </is>
      </c>
      <c r="B13" s="14" t="inlineStr">
        <is>
          <t>Mercado semanal</t>
        </is>
      </c>
      <c r="C13" s="14" t="inlineStr">
        <is>
          <t>Gasto</t>
        </is>
      </c>
      <c r="D13" s="14" t="inlineStr">
        <is>
          <t>Alimentación</t>
        </is>
      </c>
      <c r="E13" s="14" t="inlineStr">
        <is>
          <t>Cuenta corriente</t>
        </is>
      </c>
      <c r="F13" s="21" t="n">
        <v>62.15</v>
      </c>
    </row>
    <row r="14">
      <c r="A14" s="19" t="inlineStr">
        <is>
          <t>2026-10-21</t>
        </is>
      </c>
      <c r="B14" s="14" t="inlineStr">
        <is>
          <t>Taxi aeropuerto</t>
        </is>
      </c>
      <c r="C14" s="14" t="inlineStr">
        <is>
          <t>Gasto</t>
        </is>
      </c>
      <c r="D14" s="14" t="inlineStr">
        <is>
          <t>Transporte</t>
        </is>
      </c>
      <c r="E14" s="14" t="inlineStr">
        <is>
          <t>Efectivo</t>
        </is>
      </c>
      <c r="F14" s="21" t="n">
        <v>28</v>
      </c>
    </row>
    <row r="15">
      <c r="A15" s="19" t="inlineStr">
        <is>
          <t>2026-10-22</t>
        </is>
      </c>
      <c r="B15" s="14" t="inlineStr">
        <is>
          <t>Consultoría 2h</t>
        </is>
      </c>
      <c r="C15" s="14" t="inlineStr">
        <is>
          <t>Ingreso</t>
        </is>
      </c>
      <c r="D15" s="14" t="inlineStr">
        <is>
          <t>Freelance</t>
        </is>
      </c>
      <c r="E15" s="14" t="inlineStr">
        <is>
          <t>Cuenta corriente</t>
        </is>
      </c>
      <c r="F15" s="20" t="n">
        <v>160</v>
      </c>
    </row>
    <row r="16">
      <c r="A16" s="19" t="inlineStr">
        <is>
          <t>2026-10-23</t>
        </is>
      </c>
      <c r="B16" s="14" t="inlineStr">
        <is>
          <t>Internet fibra</t>
        </is>
      </c>
      <c r="C16" s="14" t="inlineStr">
        <is>
          <t>Gasto</t>
        </is>
      </c>
      <c r="D16" s="14" t="inlineStr">
        <is>
          <t>Servicios</t>
        </is>
      </c>
      <c r="E16" s="14" t="inlineStr">
        <is>
          <t>Cuenta corriente</t>
        </is>
      </c>
      <c r="F16" s="21" t="n">
        <v>39.9</v>
      </c>
    </row>
    <row r="17">
      <c r="A17" s="19" t="n"/>
      <c r="B17" s="14" t="n"/>
      <c r="C17" s="14" t="n"/>
      <c r="D17" s="14" t="n"/>
      <c r="E17" s="14" t="n"/>
      <c r="F17" s="15" t="n"/>
    </row>
    <row r="18">
      <c r="A18" s="19" t="n"/>
      <c r="B18" s="14" t="n"/>
      <c r="C18" s="14" t="n"/>
      <c r="D18" s="14" t="n"/>
      <c r="E18" s="14" t="n"/>
      <c r="F18" s="15" t="n"/>
    </row>
    <row r="19">
      <c r="A19" s="19" t="n"/>
      <c r="B19" s="14" t="n"/>
      <c r="C19" s="14" t="n"/>
      <c r="D19" s="14" t="n"/>
      <c r="E19" s="14" t="n"/>
      <c r="F19" s="15" t="n"/>
    </row>
    <row r="20">
      <c r="A20" s="19" t="n"/>
      <c r="B20" s="14" t="n"/>
      <c r="C20" s="14" t="n"/>
      <c r="D20" s="14" t="n"/>
      <c r="E20" s="14" t="n"/>
      <c r="F20" s="15" t="n"/>
    </row>
    <row r="21">
      <c r="A21" s="19" t="n"/>
      <c r="B21" s="14" t="n"/>
      <c r="C21" s="14" t="n"/>
      <c r="D21" s="14" t="n"/>
      <c r="E21" s="14" t="n"/>
      <c r="F21" s="15" t="n"/>
    </row>
    <row r="22">
      <c r="A22" s="19" t="n"/>
      <c r="B22" s="14" t="n"/>
      <c r="C22" s="14" t="n"/>
      <c r="D22" s="14" t="n"/>
      <c r="E22" s="14" t="n"/>
      <c r="F22" s="15" t="n"/>
    </row>
    <row r="23">
      <c r="A23" s="19" t="n"/>
      <c r="B23" s="14" t="n"/>
      <c r="C23" s="14" t="n"/>
      <c r="D23" s="14" t="n"/>
      <c r="E23" s="14" t="n"/>
      <c r="F23" s="15" t="n"/>
    </row>
    <row r="24">
      <c r="A24" s="19" t="n"/>
      <c r="B24" s="14" t="n"/>
      <c r="C24" s="14" t="n"/>
      <c r="D24" s="14" t="n"/>
      <c r="E24" s="14" t="n"/>
      <c r="F24" s="15" t="n"/>
    </row>
    <row r="25">
      <c r="A25" s="19" t="n"/>
      <c r="B25" s="14" t="n"/>
      <c r="C25" s="14" t="n"/>
      <c r="D25" s="14" t="n"/>
      <c r="E25" s="14" t="n"/>
      <c r="F25" s="15" t="n"/>
    </row>
    <row r="26">
      <c r="A26" s="19" t="n"/>
      <c r="B26" s="14" t="n"/>
      <c r="C26" s="14" t="n"/>
      <c r="D26" s="14" t="n"/>
      <c r="E26" s="14" t="n"/>
      <c r="F26" s="15" t="n"/>
    </row>
    <row r="27">
      <c r="A27" s="19" t="n"/>
      <c r="B27" s="14" t="n"/>
      <c r="C27" s="14" t="n"/>
      <c r="D27" s="14" t="n"/>
      <c r="E27" s="14" t="n"/>
      <c r="F27" s="15" t="n"/>
    </row>
    <row r="28">
      <c r="A28" s="19" t="n"/>
      <c r="B28" s="14" t="n"/>
      <c r="C28" s="14" t="n"/>
      <c r="D28" s="14" t="n"/>
      <c r="E28" s="14" t="n"/>
      <c r="F28" s="15" t="n"/>
    </row>
    <row r="29">
      <c r="A29" s="19" t="n"/>
      <c r="B29" s="14" t="n"/>
      <c r="C29" s="14" t="n"/>
      <c r="D29" s="14" t="n"/>
      <c r="E29" s="14" t="n"/>
      <c r="F29" s="15" t="n"/>
    </row>
    <row r="30">
      <c r="A30" s="19" t="n"/>
      <c r="B30" s="14" t="n"/>
      <c r="C30" s="14" t="n"/>
      <c r="D30" s="14" t="n"/>
      <c r="E30" s="14" t="n"/>
      <c r="F30" s="15" t="n"/>
    </row>
    <row r="31">
      <c r="A31" s="19" t="n"/>
      <c r="B31" s="14" t="n"/>
      <c r="C31" s="14" t="n"/>
      <c r="D31" s="14" t="n"/>
      <c r="E31" s="14" t="n"/>
      <c r="F31" s="15" t="n"/>
    </row>
    <row r="32">
      <c r="A32" s="19" t="n"/>
      <c r="B32" s="14" t="n"/>
      <c r="C32" s="14" t="n"/>
      <c r="D32" s="14" t="n"/>
      <c r="E32" s="14" t="n"/>
      <c r="F32" s="15" t="n"/>
    </row>
    <row r="33">
      <c r="A33" s="19" t="n"/>
      <c r="B33" s="14" t="n"/>
      <c r="C33" s="14" t="n"/>
      <c r="D33" s="14" t="n"/>
      <c r="E33" s="14" t="n"/>
      <c r="F33" s="15" t="n"/>
    </row>
    <row r="34">
      <c r="A34" s="19" t="n"/>
      <c r="B34" s="14" t="n"/>
      <c r="C34" s="14" t="n"/>
      <c r="D34" s="14" t="n"/>
      <c r="E34" s="14" t="n"/>
      <c r="F34" s="15" t="n"/>
    </row>
    <row r="35">
      <c r="A35" s="19" t="n"/>
      <c r="B35" s="14" t="n"/>
      <c r="C35" s="14" t="n"/>
      <c r="D35" s="14" t="n"/>
      <c r="E35" s="14" t="n"/>
      <c r="F35" s="15" t="n"/>
    </row>
    <row r="36">
      <c r="A36" s="19" t="n"/>
      <c r="B36" s="14" t="n"/>
      <c r="C36" s="14" t="n"/>
      <c r="D36" s="14" t="n"/>
      <c r="E36" s="14" t="n"/>
      <c r="F36" s="15" t="n"/>
    </row>
    <row r="37">
      <c r="A37" s="19" t="n"/>
      <c r="B37" s="14" t="n"/>
      <c r="C37" s="14" t="n"/>
      <c r="D37" s="14" t="n"/>
      <c r="E37" s="14" t="n"/>
      <c r="F37" s="15" t="n"/>
    </row>
    <row r="38">
      <c r="A38" s="19" t="n"/>
      <c r="B38" s="14" t="n"/>
      <c r="C38" s="14" t="n"/>
      <c r="D38" s="14" t="n"/>
      <c r="E38" s="14" t="n"/>
      <c r="F38" s="15" t="n"/>
    </row>
    <row r="39">
      <c r="A39" s="19" t="n"/>
      <c r="B39" s="14" t="n"/>
      <c r="C39" s="14" t="n"/>
      <c r="D39" s="14" t="n"/>
      <c r="E39" s="14" t="n"/>
      <c r="F39" s="15" t="n"/>
    </row>
    <row r="40">
      <c r="A40" s="19" t="n"/>
      <c r="B40" s="14" t="n"/>
      <c r="C40" s="14" t="n"/>
      <c r="D40" s="14" t="n"/>
      <c r="E40" s="14" t="n"/>
      <c r="F40" s="15" t="n"/>
    </row>
    <row r="41">
      <c r="A41" s="19" t="n"/>
      <c r="B41" s="14" t="n"/>
      <c r="C41" s="14" t="n"/>
      <c r="D41" s="14" t="n"/>
      <c r="E41" s="14" t="n"/>
      <c r="F41" s="15" t="n"/>
    </row>
    <row r="42">
      <c r="A42" s="19" t="n"/>
      <c r="B42" s="14" t="n"/>
      <c r="C42" s="14" t="n"/>
      <c r="D42" s="14" t="n"/>
      <c r="E42" s="14" t="n"/>
      <c r="F42" s="15" t="n"/>
    </row>
    <row r="43">
      <c r="A43" s="19" t="n"/>
      <c r="B43" s="14" t="n"/>
      <c r="C43" s="14" t="n"/>
      <c r="D43" s="14" t="n"/>
      <c r="E43" s="14" t="n"/>
      <c r="F43" s="15" t="n"/>
    </row>
    <row r="44">
      <c r="A44" s="19" t="n"/>
      <c r="B44" s="14" t="n"/>
      <c r="C44" s="14" t="n"/>
      <c r="D44" s="14" t="n"/>
      <c r="E44" s="14" t="n"/>
      <c r="F44" s="15" t="n"/>
    </row>
    <row r="45">
      <c r="A45" s="19" t="n"/>
      <c r="B45" s="14" t="n"/>
      <c r="C45" s="14" t="n"/>
      <c r="D45" s="14" t="n"/>
      <c r="E45" s="14" t="n"/>
      <c r="F45" s="15" t="n"/>
    </row>
    <row r="46">
      <c r="A46" s="19" t="n"/>
      <c r="B46" s="14" t="n"/>
      <c r="C46" s="14" t="n"/>
      <c r="D46" s="14" t="n"/>
      <c r="E46" s="14" t="n"/>
      <c r="F46" s="15" t="n"/>
    </row>
    <row r="47">
      <c r="A47" s="19" t="n"/>
      <c r="B47" s="14" t="n"/>
      <c r="C47" s="14" t="n"/>
      <c r="D47" s="14" t="n"/>
      <c r="E47" s="14" t="n"/>
      <c r="F47" s="15" t="n"/>
    </row>
    <row r="48">
      <c r="A48" s="19" t="n"/>
      <c r="B48" s="14" t="n"/>
      <c r="C48" s="14" t="n"/>
      <c r="D48" s="14" t="n"/>
      <c r="E48" s="14" t="n"/>
      <c r="F48" s="15" t="n"/>
    </row>
    <row r="49">
      <c r="A49" s="19" t="n"/>
      <c r="B49" s="14" t="n"/>
      <c r="C49" s="14" t="n"/>
      <c r="D49" s="14" t="n"/>
      <c r="E49" s="14" t="n"/>
      <c r="F49" s="15" t="n"/>
    </row>
    <row r="50">
      <c r="A50" s="19" t="n"/>
      <c r="B50" s="14" t="n"/>
      <c r="C50" s="14" t="n"/>
      <c r="D50" s="14" t="n"/>
      <c r="E50" s="14" t="n"/>
      <c r="F50" s="15" t="n"/>
    </row>
    <row r="51">
      <c r="A51" s="19" t="n"/>
      <c r="B51" s="14" t="n"/>
      <c r="C51" s="14" t="n"/>
      <c r="D51" s="14" t="n"/>
      <c r="E51" s="14" t="n"/>
      <c r="F51" s="15" t="n"/>
    </row>
    <row r="52">
      <c r="A52" s="19" t="n"/>
      <c r="B52" s="14" t="n"/>
      <c r="C52" s="14" t="n"/>
      <c r="D52" s="14" t="n"/>
      <c r="E52" s="14" t="n"/>
      <c r="F52" s="15" t="n"/>
    </row>
    <row r="53">
      <c r="A53" s="19" t="n"/>
      <c r="B53" s="14" t="n"/>
      <c r="C53" s="14" t="n"/>
      <c r="D53" s="14" t="n"/>
      <c r="E53" s="14" t="n"/>
      <c r="F53" s="15" t="n"/>
    </row>
    <row r="54">
      <c r="A54" s="19" t="n"/>
      <c r="B54" s="14" t="n"/>
      <c r="C54" s="14" t="n"/>
      <c r="D54" s="14" t="n"/>
      <c r="E54" s="14" t="n"/>
      <c r="F54" s="15" t="n"/>
    </row>
    <row r="55">
      <c r="A55" s="19" t="n"/>
      <c r="B55" s="14" t="n"/>
      <c r="C55" s="14" t="n"/>
      <c r="D55" s="14" t="n"/>
      <c r="E55" s="14" t="n"/>
      <c r="F55" s="15" t="n"/>
    </row>
    <row r="56">
      <c r="A56" s="19" t="n"/>
      <c r="B56" s="14" t="n"/>
      <c r="C56" s="14" t="n"/>
      <c r="D56" s="14" t="n"/>
      <c r="E56" s="14" t="n"/>
      <c r="F56" s="15" t="n"/>
    </row>
    <row r="57">
      <c r="A57" s="19" t="n"/>
      <c r="B57" s="14" t="n"/>
      <c r="C57" s="14" t="n"/>
      <c r="D57" s="14" t="n"/>
      <c r="E57" s="14" t="n"/>
      <c r="F57" s="15" t="n"/>
    </row>
    <row r="58">
      <c r="A58" s="19" t="n"/>
      <c r="B58" s="14" t="n"/>
      <c r="C58" s="14" t="n"/>
      <c r="D58" s="14" t="n"/>
      <c r="E58" s="14" t="n"/>
      <c r="F58" s="15" t="n"/>
    </row>
    <row r="59">
      <c r="A59" s="19" t="n"/>
      <c r="B59" s="14" t="n"/>
      <c r="C59" s="14" t="n"/>
      <c r="D59" s="14" t="n"/>
      <c r="E59" s="14" t="n"/>
      <c r="F59" s="15" t="n"/>
    </row>
    <row r="60">
      <c r="A60" s="19" t="n"/>
      <c r="B60" s="14" t="n"/>
      <c r="C60" s="14" t="n"/>
      <c r="D60" s="14" t="n"/>
      <c r="E60" s="14" t="n"/>
      <c r="F60" s="15" t="n"/>
    </row>
    <row r="61">
      <c r="A61" s="19" t="n"/>
      <c r="B61" s="14" t="n"/>
      <c r="C61" s="14" t="n"/>
      <c r="D61" s="14" t="n"/>
      <c r="E61" s="14" t="n"/>
      <c r="F61" s="15" t="n"/>
    </row>
    <row r="62">
      <c r="A62" s="19" t="n"/>
      <c r="B62" s="14" t="n"/>
      <c r="C62" s="14" t="n"/>
      <c r="D62" s="14" t="n"/>
      <c r="E62" s="14" t="n"/>
      <c r="F62" s="15" t="n"/>
    </row>
    <row r="63">
      <c r="A63" s="19" t="n"/>
      <c r="B63" s="14" t="n"/>
      <c r="C63" s="14" t="n"/>
      <c r="D63" s="14" t="n"/>
      <c r="E63" s="14" t="n"/>
      <c r="F63" s="15" t="n"/>
    </row>
    <row r="64">
      <c r="A64" s="19" t="n"/>
      <c r="B64" s="14" t="n"/>
      <c r="C64" s="14" t="n"/>
      <c r="D64" s="14" t="n"/>
      <c r="E64" s="14" t="n"/>
      <c r="F64" s="15" t="n"/>
    </row>
    <row r="65">
      <c r="A65" s="19" t="n"/>
      <c r="B65" s="14" t="n"/>
      <c r="C65" s="14" t="n"/>
      <c r="D65" s="14" t="n"/>
      <c r="E65" s="14" t="n"/>
      <c r="F65" s="15" t="n"/>
    </row>
    <row r="66">
      <c r="A66" s="19" t="n"/>
      <c r="B66" s="14" t="n"/>
      <c r="C66" s="14" t="n"/>
      <c r="D66" s="14" t="n"/>
      <c r="E66" s="14" t="n"/>
      <c r="F66" s="15" t="n"/>
    </row>
    <row r="67">
      <c r="A67" s="19" t="n"/>
      <c r="B67" s="14" t="n"/>
      <c r="C67" s="14" t="n"/>
      <c r="D67" s="14" t="n"/>
      <c r="E67" s="14" t="n"/>
      <c r="F67" s="15" t="n"/>
    </row>
    <row r="68">
      <c r="A68" s="19" t="n"/>
      <c r="B68" s="14" t="n"/>
      <c r="C68" s="14" t="n"/>
      <c r="D68" s="14" t="n"/>
      <c r="E68" s="14" t="n"/>
      <c r="F68" s="15" t="n"/>
    </row>
    <row r="69">
      <c r="A69" s="19" t="n"/>
      <c r="B69" s="14" t="n"/>
      <c r="C69" s="14" t="n"/>
      <c r="D69" s="14" t="n"/>
      <c r="E69" s="14" t="n"/>
      <c r="F69" s="15" t="n"/>
    </row>
    <row r="70">
      <c r="A70" s="19" t="n"/>
      <c r="B70" s="14" t="n"/>
      <c r="C70" s="14" t="n"/>
      <c r="D70" s="14" t="n"/>
      <c r="E70" s="14" t="n"/>
      <c r="F70" s="15" t="n"/>
    </row>
    <row r="71">
      <c r="A71" s="19" t="n"/>
      <c r="B71" s="14" t="n"/>
      <c r="C71" s="14" t="n"/>
      <c r="D71" s="14" t="n"/>
      <c r="E71" s="14" t="n"/>
      <c r="F71" s="15" t="n"/>
    </row>
    <row r="72">
      <c r="A72" s="19" t="n"/>
      <c r="B72" s="14" t="n"/>
      <c r="C72" s="14" t="n"/>
      <c r="D72" s="14" t="n"/>
      <c r="E72" s="14" t="n"/>
      <c r="F72" s="15" t="n"/>
    </row>
    <row r="73">
      <c r="A73" s="19" t="n"/>
      <c r="B73" s="14" t="n"/>
      <c r="C73" s="14" t="n"/>
      <c r="D73" s="14" t="n"/>
      <c r="E73" s="14" t="n"/>
      <c r="F73" s="15" t="n"/>
    </row>
    <row r="74">
      <c r="A74" s="19" t="n"/>
      <c r="B74" s="14" t="n"/>
      <c r="C74" s="14" t="n"/>
      <c r="D74" s="14" t="n"/>
      <c r="E74" s="14" t="n"/>
      <c r="F74" s="15" t="n"/>
    </row>
    <row r="75">
      <c r="A75" s="19" t="n"/>
      <c r="B75" s="14" t="n"/>
      <c r="C75" s="14" t="n"/>
      <c r="D75" s="14" t="n"/>
      <c r="E75" s="14" t="n"/>
      <c r="F75" s="15" t="n"/>
    </row>
    <row r="76">
      <c r="A76" s="19" t="n"/>
      <c r="B76" s="14" t="n"/>
      <c r="C76" s="14" t="n"/>
      <c r="D76" s="14" t="n"/>
      <c r="E76" s="14" t="n"/>
      <c r="F76" s="15" t="n"/>
    </row>
    <row r="77">
      <c r="A77" s="19" t="n"/>
      <c r="B77" s="14" t="n"/>
      <c r="C77" s="14" t="n"/>
      <c r="D77" s="14" t="n"/>
      <c r="E77" s="14" t="n"/>
      <c r="F77" s="15" t="n"/>
    </row>
    <row r="78">
      <c r="A78" s="19" t="n"/>
      <c r="B78" s="14" t="n"/>
      <c r="C78" s="14" t="n"/>
      <c r="D78" s="14" t="n"/>
      <c r="E78" s="14" t="n"/>
      <c r="F78" s="15" t="n"/>
    </row>
    <row r="79">
      <c r="A79" s="19" t="n"/>
      <c r="B79" s="14" t="n"/>
      <c r="C79" s="14" t="n"/>
      <c r="D79" s="14" t="n"/>
      <c r="E79" s="14" t="n"/>
      <c r="F79" s="15" t="n"/>
    </row>
    <row r="80">
      <c r="A80" s="19" t="n"/>
      <c r="B80" s="14" t="n"/>
      <c r="C80" s="14" t="n"/>
      <c r="D80" s="14" t="n"/>
      <c r="E80" s="14" t="n"/>
      <c r="F80" s="15" t="n"/>
    </row>
    <row r="81">
      <c r="A81" s="19" t="n"/>
      <c r="B81" s="14" t="n"/>
      <c r="C81" s="14" t="n"/>
      <c r="D81" s="14" t="n"/>
      <c r="E81" s="14" t="n"/>
      <c r="F81" s="15" t="n"/>
    </row>
    <row r="82">
      <c r="A82" s="19" t="n"/>
      <c r="B82" s="14" t="n"/>
      <c r="C82" s="14" t="n"/>
      <c r="D82" s="14" t="n"/>
      <c r="E82" s="14" t="n"/>
      <c r="F82" s="15" t="n"/>
    </row>
    <row r="83">
      <c r="A83" s="19" t="n"/>
      <c r="B83" s="14" t="n"/>
      <c r="C83" s="14" t="n"/>
      <c r="D83" s="14" t="n"/>
      <c r="E83" s="14" t="n"/>
      <c r="F83" s="15" t="n"/>
    </row>
    <row r="84">
      <c r="A84" s="19" t="n"/>
      <c r="B84" s="14" t="n"/>
      <c r="C84" s="14" t="n"/>
      <c r="D84" s="14" t="n"/>
      <c r="E84" s="14" t="n"/>
      <c r="F84" s="15" t="n"/>
    </row>
    <row r="85">
      <c r="A85" s="19" t="n"/>
      <c r="B85" s="14" t="n"/>
      <c r="C85" s="14" t="n"/>
      <c r="D85" s="14" t="n"/>
      <c r="E85" s="14" t="n"/>
      <c r="F85" s="15" t="n"/>
    </row>
    <row r="86">
      <c r="A86" s="19" t="n"/>
      <c r="B86" s="14" t="n"/>
      <c r="C86" s="14" t="n"/>
      <c r="D86" s="14" t="n"/>
      <c r="E86" s="14" t="n"/>
      <c r="F86" s="15" t="n"/>
    </row>
    <row r="87">
      <c r="A87" s="19" t="n"/>
      <c r="B87" s="14" t="n"/>
      <c r="C87" s="14" t="n"/>
      <c r="D87" s="14" t="n"/>
      <c r="E87" s="14" t="n"/>
      <c r="F87" s="15" t="n"/>
    </row>
    <row r="88">
      <c r="A88" s="19" t="n"/>
      <c r="B88" s="14" t="n"/>
      <c r="C88" s="14" t="n"/>
      <c r="D88" s="14" t="n"/>
      <c r="E88" s="14" t="n"/>
      <c r="F88" s="15" t="n"/>
    </row>
    <row r="89">
      <c r="A89" s="19" t="n"/>
      <c r="B89" s="14" t="n"/>
      <c r="C89" s="14" t="n"/>
      <c r="D89" s="14" t="n"/>
      <c r="E89" s="14" t="n"/>
      <c r="F89" s="15" t="n"/>
    </row>
    <row r="90">
      <c r="A90" s="19" t="n"/>
      <c r="B90" s="14" t="n"/>
      <c r="C90" s="14" t="n"/>
      <c r="D90" s="14" t="n"/>
      <c r="E90" s="14" t="n"/>
      <c r="F90" s="15" t="n"/>
    </row>
    <row r="91">
      <c r="A91" s="19" t="n"/>
      <c r="B91" s="14" t="n"/>
      <c r="C91" s="14" t="n"/>
      <c r="D91" s="14" t="n"/>
      <c r="E91" s="14" t="n"/>
      <c r="F91" s="15" t="n"/>
    </row>
    <row r="92">
      <c r="A92" s="19" t="n"/>
      <c r="B92" s="14" t="n"/>
      <c r="C92" s="14" t="n"/>
      <c r="D92" s="14" t="n"/>
      <c r="E92" s="14" t="n"/>
      <c r="F92" s="15" t="n"/>
    </row>
    <row r="93">
      <c r="A93" s="19" t="n"/>
      <c r="B93" s="14" t="n"/>
      <c r="C93" s="14" t="n"/>
      <c r="D93" s="14" t="n"/>
      <c r="E93" s="14" t="n"/>
      <c r="F93" s="15" t="n"/>
    </row>
    <row r="94">
      <c r="A94" s="19" t="n"/>
      <c r="B94" s="14" t="n"/>
      <c r="C94" s="14" t="n"/>
      <c r="D94" s="14" t="n"/>
      <c r="E94" s="14" t="n"/>
      <c r="F94" s="15" t="n"/>
    </row>
    <row r="95">
      <c r="A95" s="19" t="n"/>
      <c r="B95" s="14" t="n"/>
      <c r="C95" s="14" t="n"/>
      <c r="D95" s="14" t="n"/>
      <c r="E95" s="14" t="n"/>
      <c r="F95" s="15" t="n"/>
    </row>
    <row r="96">
      <c r="A96" s="19" t="n"/>
      <c r="B96" s="14" t="n"/>
      <c r="C96" s="14" t="n"/>
      <c r="D96" s="14" t="n"/>
      <c r="E96" s="14" t="n"/>
      <c r="F96" s="15" t="n"/>
    </row>
    <row r="97">
      <c r="A97" s="19" t="n"/>
      <c r="B97" s="14" t="n"/>
      <c r="C97" s="14" t="n"/>
      <c r="D97" s="14" t="n"/>
      <c r="E97" s="14" t="n"/>
      <c r="F97" s="15" t="n"/>
    </row>
    <row r="98">
      <c r="A98" s="19" t="n"/>
      <c r="B98" s="14" t="n"/>
      <c r="C98" s="14" t="n"/>
      <c r="D98" s="14" t="n"/>
      <c r="E98" s="14" t="n"/>
      <c r="F98" s="15" t="n"/>
    </row>
    <row r="99">
      <c r="A99" s="19" t="n"/>
      <c r="B99" s="14" t="n"/>
      <c r="C99" s="14" t="n"/>
      <c r="D99" s="14" t="n"/>
      <c r="E99" s="14" t="n"/>
      <c r="F99" s="15" t="n"/>
    </row>
    <row r="100">
      <c r="A100" s="19" t="n"/>
      <c r="B100" s="14" t="n"/>
      <c r="C100" s="14" t="n"/>
      <c r="D100" s="14" t="n"/>
      <c r="E100" s="14" t="n"/>
      <c r="F100" s="15" t="n"/>
    </row>
    <row r="101">
      <c r="A101" s="19" t="n"/>
      <c r="B101" s="14" t="n"/>
      <c r="C101" s="14" t="n"/>
      <c r="D101" s="14" t="n"/>
      <c r="E101" s="14" t="n"/>
      <c r="F101" s="15" t="n"/>
    </row>
    <row r="102">
      <c r="A102" s="19" t="n"/>
      <c r="B102" s="14" t="n"/>
      <c r="C102" s="14" t="n"/>
      <c r="D102" s="14" t="n"/>
      <c r="E102" s="14" t="n"/>
      <c r="F102" s="15" t="n"/>
    </row>
    <row r="103">
      <c r="A103" s="19" t="n"/>
      <c r="B103" s="14" t="n"/>
      <c r="C103" s="14" t="n"/>
      <c r="D103" s="14" t="n"/>
      <c r="E103" s="14" t="n"/>
      <c r="F103" s="15" t="n"/>
    </row>
    <row r="104">
      <c r="A104" s="19" t="n"/>
      <c r="B104" s="14" t="n"/>
      <c r="C104" s="14" t="n"/>
      <c r="D104" s="14" t="n"/>
      <c r="E104" s="14" t="n"/>
      <c r="F104" s="15" t="n"/>
    </row>
    <row r="105">
      <c r="A105" s="19" t="n"/>
      <c r="B105" s="14" t="n"/>
      <c r="C105" s="14" t="n"/>
      <c r="D105" s="14" t="n"/>
      <c r="E105" s="14" t="n"/>
      <c r="F105" s="15" t="n"/>
    </row>
    <row r="106">
      <c r="A106" s="19" t="n"/>
      <c r="B106" s="14" t="n"/>
      <c r="C106" s="14" t="n"/>
      <c r="D106" s="14" t="n"/>
      <c r="E106" s="14" t="n"/>
      <c r="F106" s="15" t="n"/>
    </row>
    <row r="107">
      <c r="A107" s="19" t="n"/>
      <c r="B107" s="14" t="n"/>
      <c r="C107" s="14" t="n"/>
      <c r="D107" s="14" t="n"/>
      <c r="E107" s="14" t="n"/>
      <c r="F107" s="15" t="n"/>
    </row>
    <row r="108">
      <c r="A108" s="19" t="n"/>
      <c r="B108" s="14" t="n"/>
      <c r="C108" s="14" t="n"/>
      <c r="D108" s="14" t="n"/>
      <c r="E108" s="14" t="n"/>
      <c r="F108" s="15" t="n"/>
    </row>
    <row r="109">
      <c r="A109" s="19" t="n"/>
      <c r="B109" s="14" t="n"/>
      <c r="C109" s="14" t="n"/>
      <c r="D109" s="14" t="n"/>
      <c r="E109" s="14" t="n"/>
      <c r="F109" s="15" t="n"/>
    </row>
    <row r="110">
      <c r="A110" s="19" t="n"/>
      <c r="B110" s="14" t="n"/>
      <c r="C110" s="14" t="n"/>
      <c r="D110" s="14" t="n"/>
      <c r="E110" s="14" t="n"/>
      <c r="F110" s="15" t="n"/>
    </row>
    <row r="111">
      <c r="A111" s="19" t="n"/>
      <c r="B111" s="14" t="n"/>
      <c r="C111" s="14" t="n"/>
      <c r="D111" s="14" t="n"/>
      <c r="E111" s="14" t="n"/>
      <c r="F111" s="15" t="n"/>
    </row>
    <row r="112">
      <c r="A112" s="19" t="n"/>
      <c r="B112" s="14" t="n"/>
      <c r="C112" s="14" t="n"/>
      <c r="D112" s="14" t="n"/>
      <c r="E112" s="14" t="n"/>
      <c r="F112" s="15" t="n"/>
    </row>
    <row r="113">
      <c r="A113" s="19" t="n"/>
      <c r="B113" s="14" t="n"/>
      <c r="C113" s="14" t="n"/>
      <c r="D113" s="14" t="n"/>
      <c r="E113" s="14" t="n"/>
      <c r="F113" s="15" t="n"/>
    </row>
    <row r="114">
      <c r="A114" s="19" t="n"/>
      <c r="B114" s="14" t="n"/>
      <c r="C114" s="14" t="n"/>
      <c r="D114" s="14" t="n"/>
      <c r="E114" s="14" t="n"/>
      <c r="F114" s="15" t="n"/>
    </row>
    <row r="115">
      <c r="A115" s="19" t="n"/>
      <c r="B115" s="14" t="n"/>
      <c r="C115" s="14" t="n"/>
      <c r="D115" s="14" t="n"/>
      <c r="E115" s="14" t="n"/>
      <c r="F115" s="15" t="n"/>
    </row>
    <row r="116">
      <c r="A116" s="19" t="n"/>
      <c r="B116" s="14" t="n"/>
      <c r="C116" s="14" t="n"/>
      <c r="D116" s="14" t="n"/>
      <c r="E116" s="14" t="n"/>
      <c r="F116" s="15" t="n"/>
    </row>
    <row r="117">
      <c r="A117" s="19" t="n"/>
      <c r="B117" s="14" t="n"/>
      <c r="C117" s="14" t="n"/>
      <c r="D117" s="14" t="n"/>
      <c r="E117" s="14" t="n"/>
      <c r="F117" s="15" t="n"/>
    </row>
    <row r="118">
      <c r="A118" s="19" t="n"/>
      <c r="B118" s="14" t="n"/>
      <c r="C118" s="14" t="n"/>
      <c r="D118" s="14" t="n"/>
      <c r="E118" s="14" t="n"/>
      <c r="F118" s="15" t="n"/>
    </row>
    <row r="119">
      <c r="A119" s="19" t="n"/>
      <c r="B119" s="14" t="n"/>
      <c r="C119" s="14" t="n"/>
      <c r="D119" s="14" t="n"/>
      <c r="E119" s="14" t="n"/>
      <c r="F119" s="15" t="n"/>
    </row>
    <row r="120">
      <c r="A120" s="19" t="n"/>
      <c r="B120" s="14" t="n"/>
      <c r="C120" s="14" t="n"/>
      <c r="D120" s="14" t="n"/>
      <c r="E120" s="14" t="n"/>
      <c r="F120" s="15" t="n"/>
    </row>
    <row r="121">
      <c r="A121" s="19" t="n"/>
      <c r="B121" s="14" t="n"/>
      <c r="C121" s="14" t="n"/>
      <c r="D121" s="14" t="n"/>
      <c r="E121" s="14" t="n"/>
      <c r="F121" s="15" t="n"/>
    </row>
    <row r="122">
      <c r="A122" s="19" t="n"/>
      <c r="B122" s="14" t="n"/>
      <c r="C122" s="14" t="n"/>
      <c r="D122" s="14" t="n"/>
      <c r="E122" s="14" t="n"/>
      <c r="F122" s="15" t="n"/>
    </row>
    <row r="123">
      <c r="A123" s="19" t="n"/>
      <c r="B123" s="14" t="n"/>
      <c r="C123" s="14" t="n"/>
      <c r="D123" s="14" t="n"/>
      <c r="E123" s="14" t="n"/>
      <c r="F123" s="15" t="n"/>
    </row>
    <row r="124">
      <c r="A124" s="19" t="n"/>
      <c r="B124" s="14" t="n"/>
      <c r="C124" s="14" t="n"/>
      <c r="D124" s="14" t="n"/>
      <c r="E124" s="14" t="n"/>
      <c r="F124" s="15" t="n"/>
    </row>
    <row r="125">
      <c r="A125" s="19" t="n"/>
      <c r="B125" s="14" t="n"/>
      <c r="C125" s="14" t="n"/>
      <c r="D125" s="14" t="n"/>
      <c r="E125" s="14" t="n"/>
      <c r="F125" s="15" t="n"/>
    </row>
    <row r="126">
      <c r="A126" s="19" t="n"/>
      <c r="B126" s="14" t="n"/>
      <c r="C126" s="14" t="n"/>
      <c r="D126" s="14" t="n"/>
      <c r="E126" s="14" t="n"/>
      <c r="F126" s="15" t="n"/>
    </row>
    <row r="127">
      <c r="A127" s="19" t="n"/>
      <c r="B127" s="14" t="n"/>
      <c r="C127" s="14" t="n"/>
      <c r="D127" s="14" t="n"/>
      <c r="E127" s="14" t="n"/>
      <c r="F127" s="15" t="n"/>
    </row>
    <row r="128">
      <c r="A128" s="19" t="n"/>
      <c r="B128" s="14" t="n"/>
      <c r="C128" s="14" t="n"/>
      <c r="D128" s="14" t="n"/>
      <c r="E128" s="14" t="n"/>
      <c r="F128" s="15" t="n"/>
    </row>
    <row r="129">
      <c r="A129" s="19" t="n"/>
      <c r="B129" s="14" t="n"/>
      <c r="C129" s="14" t="n"/>
      <c r="D129" s="14" t="n"/>
      <c r="E129" s="14" t="n"/>
      <c r="F129" s="15" t="n"/>
    </row>
    <row r="130">
      <c r="A130" s="19" t="n"/>
      <c r="B130" s="14" t="n"/>
      <c r="C130" s="14" t="n"/>
      <c r="D130" s="14" t="n"/>
      <c r="E130" s="14" t="n"/>
      <c r="F130" s="15" t="n"/>
    </row>
    <row r="131">
      <c r="A131" s="19" t="n"/>
      <c r="B131" s="14" t="n"/>
      <c r="C131" s="14" t="n"/>
      <c r="D131" s="14" t="n"/>
      <c r="E131" s="14" t="n"/>
      <c r="F131" s="15" t="n"/>
    </row>
    <row r="132">
      <c r="A132" s="19" t="n"/>
      <c r="B132" s="14" t="n"/>
      <c r="C132" s="14" t="n"/>
      <c r="D132" s="14" t="n"/>
      <c r="E132" s="14" t="n"/>
      <c r="F132" s="15" t="n"/>
    </row>
    <row r="133">
      <c r="A133" s="19" t="n"/>
      <c r="B133" s="14" t="n"/>
      <c r="C133" s="14" t="n"/>
      <c r="D133" s="14" t="n"/>
      <c r="E133" s="14" t="n"/>
      <c r="F133" s="15" t="n"/>
    </row>
    <row r="134">
      <c r="A134" s="19" t="n"/>
      <c r="B134" s="14" t="n"/>
      <c r="C134" s="14" t="n"/>
      <c r="D134" s="14" t="n"/>
      <c r="E134" s="14" t="n"/>
      <c r="F134" s="15" t="n"/>
    </row>
    <row r="135">
      <c r="A135" s="19" t="n"/>
      <c r="B135" s="14" t="n"/>
      <c r="C135" s="14" t="n"/>
      <c r="D135" s="14" t="n"/>
      <c r="E135" s="14" t="n"/>
      <c r="F135" s="15" t="n"/>
    </row>
    <row r="136">
      <c r="A136" s="19" t="n"/>
      <c r="B136" s="14" t="n"/>
      <c r="C136" s="14" t="n"/>
      <c r="D136" s="14" t="n"/>
      <c r="E136" s="14" t="n"/>
      <c r="F136" s="15" t="n"/>
    </row>
    <row r="137">
      <c r="A137" s="19" t="n"/>
      <c r="B137" s="14" t="n"/>
      <c r="C137" s="14" t="n"/>
      <c r="D137" s="14" t="n"/>
      <c r="E137" s="14" t="n"/>
      <c r="F137" s="15" t="n"/>
    </row>
    <row r="138">
      <c r="A138" s="19" t="n"/>
      <c r="B138" s="14" t="n"/>
      <c r="C138" s="14" t="n"/>
      <c r="D138" s="14" t="n"/>
      <c r="E138" s="14" t="n"/>
      <c r="F138" s="15" t="n"/>
    </row>
    <row r="139">
      <c r="A139" s="19" t="n"/>
      <c r="B139" s="14" t="n"/>
      <c r="C139" s="14" t="n"/>
      <c r="D139" s="14" t="n"/>
      <c r="E139" s="14" t="n"/>
      <c r="F139" s="15" t="n"/>
    </row>
    <row r="140">
      <c r="A140" s="19" t="n"/>
      <c r="B140" s="14" t="n"/>
      <c r="C140" s="14" t="n"/>
      <c r="D140" s="14" t="n"/>
      <c r="E140" s="14" t="n"/>
      <c r="F140" s="15" t="n"/>
    </row>
    <row r="141">
      <c r="A141" s="19" t="n"/>
      <c r="B141" s="14" t="n"/>
      <c r="C141" s="14" t="n"/>
      <c r="D141" s="14" t="n"/>
      <c r="E141" s="14" t="n"/>
      <c r="F141" s="15" t="n"/>
    </row>
    <row r="142">
      <c r="A142" s="19" t="n"/>
      <c r="B142" s="14" t="n"/>
      <c r="C142" s="14" t="n"/>
      <c r="D142" s="14" t="n"/>
      <c r="E142" s="14" t="n"/>
      <c r="F142" s="15" t="n"/>
    </row>
    <row r="143">
      <c r="A143" s="19" t="n"/>
      <c r="B143" s="14" t="n"/>
      <c r="C143" s="14" t="n"/>
      <c r="D143" s="14" t="n"/>
      <c r="E143" s="14" t="n"/>
      <c r="F143" s="15" t="n"/>
    </row>
    <row r="144">
      <c r="A144" s="19" t="n"/>
      <c r="B144" s="14" t="n"/>
      <c r="C144" s="14" t="n"/>
      <c r="D144" s="14" t="n"/>
      <c r="E144" s="14" t="n"/>
      <c r="F144" s="15" t="n"/>
    </row>
    <row r="145">
      <c r="A145" s="19" t="n"/>
      <c r="B145" s="14" t="n"/>
      <c r="C145" s="14" t="n"/>
      <c r="D145" s="14" t="n"/>
      <c r="E145" s="14" t="n"/>
      <c r="F145" s="15" t="n"/>
    </row>
    <row r="146">
      <c r="A146" s="19" t="n"/>
      <c r="B146" s="14" t="n"/>
      <c r="C146" s="14" t="n"/>
      <c r="D146" s="14" t="n"/>
      <c r="E146" s="14" t="n"/>
      <c r="F146" s="15" t="n"/>
    </row>
    <row r="147">
      <c r="A147" s="19" t="n"/>
      <c r="B147" s="14" t="n"/>
      <c r="C147" s="14" t="n"/>
      <c r="D147" s="14" t="n"/>
      <c r="E147" s="14" t="n"/>
      <c r="F147" s="15" t="n"/>
    </row>
    <row r="148">
      <c r="A148" s="19" t="n"/>
      <c r="B148" s="14" t="n"/>
      <c r="C148" s="14" t="n"/>
      <c r="D148" s="14" t="n"/>
      <c r="E148" s="14" t="n"/>
      <c r="F148" s="15" t="n"/>
    </row>
    <row r="149">
      <c r="A149" s="19" t="n"/>
      <c r="B149" s="14" t="n"/>
      <c r="C149" s="14" t="n"/>
      <c r="D149" s="14" t="n"/>
      <c r="E149" s="14" t="n"/>
      <c r="F149" s="15" t="n"/>
    </row>
    <row r="150">
      <c r="A150" s="19" t="n"/>
      <c r="B150" s="14" t="n"/>
      <c r="C150" s="14" t="n"/>
      <c r="D150" s="14" t="n"/>
      <c r="E150" s="14" t="n"/>
      <c r="F150" s="15" t="n"/>
    </row>
    <row r="151">
      <c r="A151" s="19" t="n"/>
      <c r="B151" s="14" t="n"/>
      <c r="C151" s="14" t="n"/>
      <c r="D151" s="14" t="n"/>
      <c r="E151" s="14" t="n"/>
      <c r="F151" s="15" t="n"/>
    </row>
    <row r="152">
      <c r="A152" s="19" t="n"/>
      <c r="B152" s="14" t="n"/>
      <c r="C152" s="14" t="n"/>
      <c r="D152" s="14" t="n"/>
      <c r="E152" s="14" t="n"/>
      <c r="F152" s="15" t="n"/>
    </row>
    <row r="153">
      <c r="A153" s="19" t="n"/>
      <c r="B153" s="14" t="n"/>
      <c r="C153" s="14" t="n"/>
      <c r="D153" s="14" t="n"/>
      <c r="E153" s="14" t="n"/>
      <c r="F153" s="15" t="n"/>
    </row>
    <row r="154">
      <c r="A154" s="19" t="n"/>
      <c r="B154" s="14" t="n"/>
      <c r="C154" s="14" t="n"/>
      <c r="D154" s="14" t="n"/>
      <c r="E154" s="14" t="n"/>
      <c r="F154" s="15" t="n"/>
    </row>
    <row r="155">
      <c r="A155" s="19" t="n"/>
      <c r="B155" s="14" t="n"/>
      <c r="C155" s="14" t="n"/>
      <c r="D155" s="14" t="n"/>
      <c r="E155" s="14" t="n"/>
      <c r="F155" s="15" t="n"/>
    </row>
    <row r="156">
      <c r="A156" s="19" t="n"/>
      <c r="B156" s="14" t="n"/>
      <c r="C156" s="14" t="n"/>
      <c r="D156" s="14" t="n"/>
      <c r="E156" s="14" t="n"/>
      <c r="F156" s="15" t="n"/>
    </row>
    <row r="157">
      <c r="A157" s="19" t="n"/>
      <c r="B157" s="14" t="n"/>
      <c r="C157" s="14" t="n"/>
      <c r="D157" s="14" t="n"/>
      <c r="E157" s="14" t="n"/>
      <c r="F157" s="15" t="n"/>
    </row>
    <row r="158">
      <c r="A158" s="19" t="n"/>
      <c r="B158" s="14" t="n"/>
      <c r="C158" s="14" t="n"/>
      <c r="D158" s="14" t="n"/>
      <c r="E158" s="14" t="n"/>
      <c r="F158" s="15" t="n"/>
    </row>
    <row r="159">
      <c r="A159" s="19" t="n"/>
      <c r="B159" s="14" t="n"/>
      <c r="C159" s="14" t="n"/>
      <c r="D159" s="14" t="n"/>
      <c r="E159" s="14" t="n"/>
      <c r="F159" s="15" t="n"/>
    </row>
    <row r="160">
      <c r="A160" s="19" t="n"/>
      <c r="B160" s="14" t="n"/>
      <c r="C160" s="14" t="n"/>
      <c r="D160" s="14" t="n"/>
      <c r="E160" s="14" t="n"/>
      <c r="F160" s="15" t="n"/>
    </row>
    <row r="161">
      <c r="A161" s="19" t="n"/>
      <c r="B161" s="14" t="n"/>
      <c r="C161" s="14" t="n"/>
      <c r="D161" s="14" t="n"/>
      <c r="E161" s="14" t="n"/>
      <c r="F161" s="15" t="n"/>
    </row>
    <row r="162">
      <c r="A162" s="19" t="n"/>
      <c r="B162" s="14" t="n"/>
      <c r="C162" s="14" t="n"/>
      <c r="D162" s="14" t="n"/>
      <c r="E162" s="14" t="n"/>
      <c r="F162" s="15" t="n"/>
    </row>
    <row r="163">
      <c r="A163" s="19" t="n"/>
      <c r="B163" s="14" t="n"/>
      <c r="C163" s="14" t="n"/>
      <c r="D163" s="14" t="n"/>
      <c r="E163" s="14" t="n"/>
      <c r="F163" s="15" t="n"/>
    </row>
    <row r="164">
      <c r="A164" s="19" t="n"/>
      <c r="B164" s="14" t="n"/>
      <c r="C164" s="14" t="n"/>
      <c r="D164" s="14" t="n"/>
      <c r="E164" s="14" t="n"/>
      <c r="F164" s="15" t="n"/>
    </row>
    <row r="165">
      <c r="A165" s="19" t="n"/>
      <c r="B165" s="14" t="n"/>
      <c r="C165" s="14" t="n"/>
      <c r="D165" s="14" t="n"/>
      <c r="E165" s="14" t="n"/>
      <c r="F165" s="15" t="n"/>
    </row>
    <row r="166">
      <c r="A166" s="19" t="n"/>
      <c r="B166" s="14" t="n"/>
      <c r="C166" s="14" t="n"/>
      <c r="D166" s="14" t="n"/>
      <c r="E166" s="14" t="n"/>
      <c r="F166" s="15" t="n"/>
    </row>
    <row r="167">
      <c r="A167" s="19" t="n"/>
      <c r="B167" s="14" t="n"/>
      <c r="C167" s="14" t="n"/>
      <c r="D167" s="14" t="n"/>
      <c r="E167" s="14" t="n"/>
      <c r="F167" s="15" t="n"/>
    </row>
    <row r="168">
      <c r="A168" s="19" t="n"/>
      <c r="B168" s="14" t="n"/>
      <c r="C168" s="14" t="n"/>
      <c r="D168" s="14" t="n"/>
      <c r="E168" s="14" t="n"/>
      <c r="F168" s="15" t="n"/>
    </row>
    <row r="169">
      <c r="A169" s="19" t="n"/>
      <c r="B169" s="14" t="n"/>
      <c r="C169" s="14" t="n"/>
      <c r="D169" s="14" t="n"/>
      <c r="E169" s="14" t="n"/>
      <c r="F169" s="15" t="n"/>
    </row>
    <row r="170">
      <c r="A170" s="19" t="n"/>
      <c r="B170" s="14" t="n"/>
      <c r="C170" s="14" t="n"/>
      <c r="D170" s="14" t="n"/>
      <c r="E170" s="14" t="n"/>
      <c r="F170" s="15" t="n"/>
    </row>
    <row r="171">
      <c r="A171" s="19" t="n"/>
      <c r="B171" s="14" t="n"/>
      <c r="C171" s="14" t="n"/>
      <c r="D171" s="14" t="n"/>
      <c r="E171" s="14" t="n"/>
      <c r="F171" s="15" t="n"/>
    </row>
    <row r="172">
      <c r="A172" s="19" t="n"/>
      <c r="B172" s="14" t="n"/>
      <c r="C172" s="14" t="n"/>
      <c r="D172" s="14" t="n"/>
      <c r="E172" s="14" t="n"/>
      <c r="F172" s="15" t="n"/>
    </row>
    <row r="173">
      <c r="A173" s="19" t="n"/>
      <c r="B173" s="14" t="n"/>
      <c r="C173" s="14" t="n"/>
      <c r="D173" s="14" t="n"/>
      <c r="E173" s="14" t="n"/>
      <c r="F173" s="15" t="n"/>
    </row>
    <row r="174">
      <c r="A174" s="19" t="n"/>
      <c r="B174" s="14" t="n"/>
      <c r="C174" s="14" t="n"/>
      <c r="D174" s="14" t="n"/>
      <c r="E174" s="14" t="n"/>
      <c r="F174" s="15" t="n"/>
    </row>
    <row r="175">
      <c r="A175" s="19" t="n"/>
      <c r="B175" s="14" t="n"/>
      <c r="C175" s="14" t="n"/>
      <c r="D175" s="14" t="n"/>
      <c r="E175" s="14" t="n"/>
      <c r="F175" s="15" t="n"/>
    </row>
    <row r="176">
      <c r="A176" s="19" t="n"/>
      <c r="B176" s="14" t="n"/>
      <c r="C176" s="14" t="n"/>
      <c r="D176" s="14" t="n"/>
      <c r="E176" s="14" t="n"/>
      <c r="F176" s="15" t="n"/>
    </row>
    <row r="177">
      <c r="A177" s="19" t="n"/>
      <c r="B177" s="14" t="n"/>
      <c r="C177" s="14" t="n"/>
      <c r="D177" s="14" t="n"/>
      <c r="E177" s="14" t="n"/>
      <c r="F177" s="15" t="n"/>
    </row>
    <row r="178">
      <c r="A178" s="19" t="n"/>
      <c r="B178" s="14" t="n"/>
      <c r="C178" s="14" t="n"/>
      <c r="D178" s="14" t="n"/>
      <c r="E178" s="14" t="n"/>
      <c r="F178" s="15" t="n"/>
    </row>
    <row r="179">
      <c r="A179" s="19" t="n"/>
      <c r="B179" s="14" t="n"/>
      <c r="C179" s="14" t="n"/>
      <c r="D179" s="14" t="n"/>
      <c r="E179" s="14" t="n"/>
      <c r="F179" s="15" t="n"/>
    </row>
    <row r="180">
      <c r="A180" s="19" t="n"/>
      <c r="B180" s="14" t="n"/>
      <c r="C180" s="14" t="n"/>
      <c r="D180" s="14" t="n"/>
      <c r="E180" s="14" t="n"/>
      <c r="F180" s="15" t="n"/>
    </row>
    <row r="181">
      <c r="A181" s="19" t="n"/>
      <c r="B181" s="14" t="n"/>
      <c r="C181" s="14" t="n"/>
      <c r="D181" s="14" t="n"/>
      <c r="E181" s="14" t="n"/>
      <c r="F181" s="15" t="n"/>
    </row>
    <row r="182">
      <c r="A182" s="19" t="n"/>
      <c r="B182" s="14" t="n"/>
      <c r="C182" s="14" t="n"/>
      <c r="D182" s="14" t="n"/>
      <c r="E182" s="14" t="n"/>
      <c r="F182" s="15" t="n"/>
    </row>
    <row r="183">
      <c r="A183" s="19" t="n"/>
      <c r="B183" s="14" t="n"/>
      <c r="C183" s="14" t="n"/>
      <c r="D183" s="14" t="n"/>
      <c r="E183" s="14" t="n"/>
      <c r="F183" s="15" t="n"/>
    </row>
    <row r="184">
      <c r="A184" s="19" t="n"/>
      <c r="B184" s="14" t="n"/>
      <c r="C184" s="14" t="n"/>
      <c r="D184" s="14" t="n"/>
      <c r="E184" s="14" t="n"/>
      <c r="F184" s="15" t="n"/>
    </row>
    <row r="185">
      <c r="A185" s="19" t="n"/>
      <c r="B185" s="14" t="n"/>
      <c r="C185" s="14" t="n"/>
      <c r="D185" s="14" t="n"/>
      <c r="E185" s="14" t="n"/>
      <c r="F185" s="15" t="n"/>
    </row>
    <row r="186">
      <c r="A186" s="19" t="n"/>
      <c r="B186" s="14" t="n"/>
      <c r="C186" s="14" t="n"/>
      <c r="D186" s="14" t="n"/>
      <c r="E186" s="14" t="n"/>
      <c r="F186" s="15" t="n"/>
    </row>
    <row r="187">
      <c r="A187" s="19" t="n"/>
      <c r="B187" s="14" t="n"/>
      <c r="C187" s="14" t="n"/>
      <c r="D187" s="14" t="n"/>
      <c r="E187" s="14" t="n"/>
      <c r="F187" s="15" t="n"/>
    </row>
    <row r="188">
      <c r="A188" s="19" t="n"/>
      <c r="B188" s="14" t="n"/>
      <c r="C188" s="14" t="n"/>
      <c r="D188" s="14" t="n"/>
      <c r="E188" s="14" t="n"/>
      <c r="F188" s="15" t="n"/>
    </row>
    <row r="189">
      <c r="A189" s="19" t="n"/>
      <c r="B189" s="14" t="n"/>
      <c r="C189" s="14" t="n"/>
      <c r="D189" s="14" t="n"/>
      <c r="E189" s="14" t="n"/>
      <c r="F189" s="15" t="n"/>
    </row>
    <row r="190">
      <c r="A190" s="19" t="n"/>
      <c r="B190" s="14" t="n"/>
      <c r="C190" s="14" t="n"/>
      <c r="D190" s="14" t="n"/>
      <c r="E190" s="14" t="n"/>
      <c r="F190" s="15" t="n"/>
    </row>
    <row r="191">
      <c r="A191" s="19" t="n"/>
      <c r="B191" s="14" t="n"/>
      <c r="C191" s="14" t="n"/>
      <c r="D191" s="14" t="n"/>
      <c r="E191" s="14" t="n"/>
      <c r="F191" s="15" t="n"/>
    </row>
    <row r="192">
      <c r="A192" s="19" t="n"/>
      <c r="B192" s="14" t="n"/>
      <c r="C192" s="14" t="n"/>
      <c r="D192" s="14" t="n"/>
      <c r="E192" s="14" t="n"/>
      <c r="F192" s="15" t="n"/>
    </row>
    <row r="193">
      <c r="A193" s="19" t="n"/>
      <c r="B193" s="14" t="n"/>
      <c r="C193" s="14" t="n"/>
      <c r="D193" s="14" t="n"/>
      <c r="E193" s="14" t="n"/>
      <c r="F193" s="15" t="n"/>
    </row>
    <row r="194">
      <c r="A194" s="19" t="n"/>
      <c r="B194" s="14" t="n"/>
      <c r="C194" s="14" t="n"/>
      <c r="D194" s="14" t="n"/>
      <c r="E194" s="14" t="n"/>
      <c r="F194" s="15" t="n"/>
    </row>
    <row r="195">
      <c r="A195" s="19" t="n"/>
      <c r="B195" s="14" t="n"/>
      <c r="C195" s="14" t="n"/>
      <c r="D195" s="14" t="n"/>
      <c r="E195" s="14" t="n"/>
      <c r="F195" s="15" t="n"/>
    </row>
    <row r="196">
      <c r="A196" s="19" t="n"/>
      <c r="B196" s="14" t="n"/>
      <c r="C196" s="14" t="n"/>
      <c r="D196" s="14" t="n"/>
      <c r="E196" s="14" t="n"/>
      <c r="F196" s="15" t="n"/>
    </row>
    <row r="197">
      <c r="A197" s="19" t="n"/>
      <c r="B197" s="14" t="n"/>
      <c r="C197" s="14" t="n"/>
      <c r="D197" s="14" t="n"/>
      <c r="E197" s="14" t="n"/>
      <c r="F197" s="15" t="n"/>
    </row>
    <row r="198">
      <c r="A198" s="19" t="n"/>
      <c r="B198" s="14" t="n"/>
      <c r="C198" s="14" t="n"/>
      <c r="D198" s="14" t="n"/>
      <c r="E198" s="14" t="n"/>
      <c r="F198" s="15" t="n"/>
    </row>
    <row r="199">
      <c r="A199" s="19" t="n"/>
      <c r="B199" s="14" t="n"/>
      <c r="C199" s="14" t="n"/>
      <c r="D199" s="14" t="n"/>
      <c r="E199" s="14" t="n"/>
      <c r="F199" s="15" t="n"/>
    </row>
    <row r="200">
      <c r="A200" s="19" t="n"/>
      <c r="B200" s="14" t="n"/>
      <c r="C200" s="14" t="n"/>
      <c r="D200" s="14" t="n"/>
      <c r="E200" s="14" t="n"/>
      <c r="F200" s="15" t="n"/>
    </row>
    <row r="201">
      <c r="A201" s="19" t="n"/>
      <c r="B201" s="14" t="n"/>
      <c r="C201" s="14" t="n"/>
      <c r="D201" s="14" t="n"/>
      <c r="E201" s="14" t="n"/>
      <c r="F201" s="15" t="n"/>
    </row>
    <row r="202">
      <c r="A202" s="19" t="n"/>
      <c r="B202" s="14" t="n"/>
      <c r="C202" s="14" t="n"/>
      <c r="D202" s="14" t="n"/>
      <c r="E202" s="14" t="n"/>
      <c r="F202" s="15" t="n"/>
    </row>
    <row r="203">
      <c r="A203" s="19" t="n"/>
      <c r="B203" s="14" t="n"/>
      <c r="C203" s="14" t="n"/>
      <c r="D203" s="14" t="n"/>
      <c r="E203" s="14" t="n"/>
      <c r="F203" s="15" t="n"/>
    </row>
    <row r="204">
      <c r="A204" s="19" t="n"/>
      <c r="B204" s="14" t="n"/>
      <c r="C204" s="14" t="n"/>
      <c r="D204" s="14" t="n"/>
      <c r="E204" s="14" t="n"/>
      <c r="F204" s="15" t="n"/>
    </row>
    <row r="205">
      <c r="A205" s="19" t="n"/>
      <c r="B205" s="14" t="n"/>
      <c r="C205" s="14" t="n"/>
      <c r="D205" s="14" t="n"/>
      <c r="E205" s="14" t="n"/>
      <c r="F205" s="15" t="n"/>
    </row>
    <row r="206">
      <c r="A206" s="19" t="n"/>
      <c r="B206" s="14" t="n"/>
      <c r="C206" s="14" t="n"/>
      <c r="D206" s="14" t="n"/>
      <c r="E206" s="14" t="n"/>
      <c r="F206" s="15" t="n"/>
    </row>
    <row r="207">
      <c r="A207" s="19" t="n"/>
      <c r="B207" s="14" t="n"/>
      <c r="C207" s="14" t="n"/>
      <c r="D207" s="14" t="n"/>
      <c r="E207" s="14" t="n"/>
      <c r="F207" s="15" t="n"/>
    </row>
    <row r="208">
      <c r="A208" s="19" t="n"/>
      <c r="B208" s="14" t="n"/>
      <c r="C208" s="14" t="n"/>
      <c r="D208" s="14" t="n"/>
      <c r="E208" s="14" t="n"/>
      <c r="F208" s="15" t="n"/>
    </row>
    <row r="209">
      <c r="A209" s="19" t="n"/>
      <c r="B209" s="14" t="n"/>
      <c r="C209" s="14" t="n"/>
      <c r="D209" s="14" t="n"/>
      <c r="E209" s="14" t="n"/>
      <c r="F209" s="15" t="n"/>
    </row>
    <row r="210">
      <c r="A210" s="19" t="n"/>
      <c r="B210" s="14" t="n"/>
      <c r="C210" s="14" t="n"/>
      <c r="D210" s="14" t="n"/>
      <c r="E210" s="14" t="n"/>
      <c r="F210" s="15" t="n"/>
    </row>
    <row r="211">
      <c r="A211" s="19" t="n"/>
      <c r="B211" s="14" t="n"/>
      <c r="C211" s="14" t="n"/>
      <c r="D211" s="14" t="n"/>
      <c r="E211" s="14" t="n"/>
      <c r="F211" s="15" t="n"/>
    </row>
    <row r="212">
      <c r="A212" s="19" t="n"/>
      <c r="B212" s="14" t="n"/>
      <c r="C212" s="14" t="n"/>
      <c r="D212" s="14" t="n"/>
      <c r="E212" s="14" t="n"/>
      <c r="F212" s="15" t="n"/>
    </row>
    <row r="213">
      <c r="A213" s="19" t="n"/>
      <c r="B213" s="14" t="n"/>
      <c r="C213" s="14" t="n"/>
      <c r="D213" s="14" t="n"/>
      <c r="E213" s="14" t="n"/>
      <c r="F213" s="15" t="n"/>
    </row>
    <row r="214">
      <c r="A214" s="19" t="n"/>
      <c r="B214" s="14" t="n"/>
      <c r="C214" s="14" t="n"/>
      <c r="D214" s="14" t="n"/>
      <c r="E214" s="14" t="n"/>
      <c r="F214" s="15" t="n"/>
    </row>
    <row r="215">
      <c r="A215" s="19" t="n"/>
      <c r="B215" s="14" t="n"/>
      <c r="C215" s="14" t="n"/>
      <c r="D215" s="14" t="n"/>
      <c r="E215" s="14" t="n"/>
      <c r="F215" s="15" t="n"/>
    </row>
    <row r="216">
      <c r="A216" s="19" t="n"/>
      <c r="B216" s="14" t="n"/>
      <c r="C216" s="14" t="n"/>
      <c r="D216" s="14" t="n"/>
      <c r="E216" s="14" t="n"/>
      <c r="F216" s="15" t="n"/>
    </row>
  </sheetData>
  <autoFilter ref="A1:F216"/>
  <dataValidations count="3">
    <dataValidation sqref="C2:C216" showDropDown="0" showInputMessage="0" showErrorMessage="0" allowBlank="1" type="list">
      <formula1>"Ingreso,Gasto"</formula1>
    </dataValidation>
    <dataValidation sqref="D2:D216" showDropDown="0" showInputMessage="0" showErrorMessage="0" allowBlank="1" type="list">
      <formula1>=Categorías!$A$2:$A$12</formula1>
    </dataValidation>
    <dataValidation sqref="E2:E216" showDropDown="0" showInputMessage="0" showErrorMessage="0" allowBlank="1" type="list">
      <formula1>=Cuentas!$A$2:$A$4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</cols>
  <sheetData>
    <row r="1">
      <c r="A1" s="13" t="inlineStr">
        <is>
          <t>Categoría</t>
        </is>
      </c>
      <c r="B1" s="13" t="inlineStr">
        <is>
          <t>Tipo</t>
        </is>
      </c>
      <c r="C1" s="13" t="inlineStr">
        <is>
          <t>Color (hex)</t>
        </is>
      </c>
    </row>
    <row r="2">
      <c r="A2" s="14" t="inlineStr">
        <is>
          <t>Salario</t>
        </is>
      </c>
      <c r="B2" s="14" t="inlineStr">
        <is>
          <t>Ingreso</t>
        </is>
      </c>
      <c r="C2" s="22" t="inlineStr">
        <is>
          <t>2A7A5C</t>
        </is>
      </c>
    </row>
    <row r="3">
      <c r="A3" s="14" t="inlineStr">
        <is>
          <t>Freelance</t>
        </is>
      </c>
      <c r="B3" s="14" t="inlineStr">
        <is>
          <t>Ingreso</t>
        </is>
      </c>
      <c r="C3" s="23" t="inlineStr">
        <is>
          <t>3D8B6E</t>
        </is>
      </c>
    </row>
    <row r="4">
      <c r="A4" s="14" t="inlineStr">
        <is>
          <t>Inversiones</t>
        </is>
      </c>
      <c r="B4" s="14" t="inlineStr">
        <is>
          <t>Ingreso</t>
        </is>
      </c>
      <c r="C4" s="24" t="inlineStr">
        <is>
          <t>5BA88A</t>
        </is>
      </c>
    </row>
    <row r="5">
      <c r="A5" s="14" t="inlineStr">
        <is>
          <t>Vivienda</t>
        </is>
      </c>
      <c r="B5" s="14" t="inlineStr">
        <is>
          <t>Gasto</t>
        </is>
      </c>
      <c r="C5" s="25" t="inlineStr">
        <is>
          <t>4A6B8A</t>
        </is>
      </c>
    </row>
    <row r="6">
      <c r="A6" s="14" t="inlineStr">
        <is>
          <t>Alimentación</t>
        </is>
      </c>
      <c r="B6" s="14" t="inlineStr">
        <is>
          <t>Gasto</t>
        </is>
      </c>
      <c r="C6" s="26" t="inlineStr">
        <is>
          <t>C47A3A</t>
        </is>
      </c>
    </row>
    <row r="7">
      <c r="A7" s="14" t="inlineStr">
        <is>
          <t>Transporte</t>
        </is>
      </c>
      <c r="B7" s="14" t="inlineStr">
        <is>
          <t>Gasto</t>
        </is>
      </c>
      <c r="C7" s="27" t="inlineStr">
        <is>
          <t>6B7C8A</t>
        </is>
      </c>
    </row>
    <row r="8">
      <c r="A8" s="14" t="inlineStr">
        <is>
          <t>Servicios</t>
        </is>
      </c>
      <c r="B8" s="14" t="inlineStr">
        <is>
          <t>Gasto</t>
        </is>
      </c>
      <c r="C8" s="28" t="inlineStr">
        <is>
          <t>7A6B9A</t>
        </is>
      </c>
    </row>
    <row r="9">
      <c r="A9" s="14" t="inlineStr">
        <is>
          <t>Salud</t>
        </is>
      </c>
      <c r="B9" s="14" t="inlineStr">
        <is>
          <t>Gasto</t>
        </is>
      </c>
      <c r="C9" s="29" t="inlineStr">
        <is>
          <t>B54A5A</t>
        </is>
      </c>
    </row>
    <row r="10">
      <c r="A10" s="14" t="inlineStr">
        <is>
          <t>Ocio</t>
        </is>
      </c>
      <c r="B10" s="14" t="inlineStr">
        <is>
          <t>Gasto</t>
        </is>
      </c>
      <c r="C10" s="30" t="inlineStr">
        <is>
          <t>3A8A9A</t>
        </is>
      </c>
    </row>
    <row r="11">
      <c r="A11" s="14" t="inlineStr">
        <is>
          <t>Compras</t>
        </is>
      </c>
      <c r="B11" s="14" t="inlineStr">
        <is>
          <t>Gasto</t>
        </is>
      </c>
      <c r="C11" s="31" t="inlineStr">
        <is>
          <t>9A6B4A</t>
        </is>
      </c>
    </row>
    <row r="12">
      <c r="A12" s="14" t="inlineStr">
        <is>
          <t>Otros</t>
        </is>
      </c>
      <c r="B12" s="14" t="inlineStr">
        <is>
          <t>Ambos</t>
        </is>
      </c>
      <c r="C12" s="32" t="inlineStr">
        <is>
          <t>6B726E</t>
        </is>
      </c>
    </row>
  </sheetData>
  <dataValidations count="1">
    <dataValidation sqref="B2:B62" showDropDown="0" showInputMessage="0" showErrorMessage="0" allowBlank="1" type="list">
      <formula1>"Ingreso,Gasto,Ambos"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</cols>
  <sheetData>
    <row r="1">
      <c r="A1" s="13" t="inlineStr">
        <is>
          <t>Cuenta</t>
        </is>
      </c>
      <c r="B1" s="13" t="inlineStr">
        <is>
          <t>Tipo</t>
        </is>
      </c>
      <c r="C1" s="13" t="inlineStr">
        <is>
          <t>Saldo</t>
        </is>
      </c>
    </row>
    <row r="2">
      <c r="A2" s="14" t="inlineStr">
        <is>
          <t>Cuenta corriente</t>
        </is>
      </c>
      <c r="B2" s="14" t="inlineStr">
        <is>
          <t>Corriente</t>
        </is>
      </c>
      <c r="C2" s="15" t="n">
        <v>2840.5</v>
      </c>
    </row>
    <row r="3">
      <c r="A3" s="14" t="inlineStr">
        <is>
          <t>Ahorros</t>
        </is>
      </c>
      <c r="B3" s="14" t="inlineStr">
        <is>
          <t>Ahorro</t>
        </is>
      </c>
      <c r="C3" s="15" t="n">
        <v>12500</v>
      </c>
    </row>
    <row r="4">
      <c r="A4" s="14" t="inlineStr">
        <is>
          <t>Efectivo</t>
        </is>
      </c>
      <c r="B4" s="14" t="inlineStr">
        <is>
          <t>Efectivo</t>
        </is>
      </c>
      <c r="C4" s="15" t="n">
        <v>185.25</v>
      </c>
    </row>
    <row r="5">
      <c r="A5" s="33" t="inlineStr">
        <is>
          <t>TOTAL</t>
        </is>
      </c>
      <c r="C5" s="34">
        <f>SUM(C2:C4)</f>
        <v/>
      </c>
    </row>
  </sheetData>
  <dataValidations count="1">
    <dataValidation sqref="B2:B54" showDropDown="0" showInputMessage="0" showErrorMessage="0" allowBlank="1" type="list">
      <formula1>"Corriente,Ahorro,Efectivo"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</cols>
  <sheetData>
    <row r="1">
      <c r="A1" s="13" t="inlineStr">
        <is>
          <t>Categoría</t>
        </is>
      </c>
      <c r="B1" s="13" t="inlineStr">
        <is>
          <t>Límite mensual</t>
        </is>
      </c>
      <c r="C1" s="13" t="inlineStr">
        <is>
          <t>Gastado (mes)</t>
        </is>
      </c>
      <c r="D1" s="13" t="inlineStr">
        <is>
          <t>% usado</t>
        </is>
      </c>
      <c r="E1" s="13" t="inlineStr">
        <is>
          <t>Estado</t>
        </is>
      </c>
    </row>
    <row r="2">
      <c r="A2" s="14" t="inlineStr">
        <is>
          <t>Vivienda</t>
        </is>
      </c>
      <c r="B2" s="15" t="n">
        <v>650</v>
      </c>
      <c r="C2" s="15">
        <f>SUMIFS(Movimientos!$F:$F,Movimientos!$D:$D,A2,Movimientos!$C:$C,"Gasto",Movimientos!$A:$A,"&gt;="&amp;DATE(Dashboard!$B$3,Dashboard!$B$2,1),Movimientos!$A:$A,"&lt;"&amp;DATE(Dashboard!$B$3,Dashboard!$B$2+1,1))</f>
        <v/>
      </c>
      <c r="D2" s="17">
        <f>IF(B2=0,0,C2/B2)</f>
        <v/>
      </c>
      <c r="E2" s="18">
        <f>IF(D2&gt;1,"Excedido",IF(D2&gt;=0.85,"Alerta","OK"))</f>
        <v/>
      </c>
    </row>
    <row r="3">
      <c r="A3" s="14" t="inlineStr">
        <is>
          <t>Alimentación</t>
        </is>
      </c>
      <c r="B3" s="15" t="n">
        <v>400</v>
      </c>
      <c r="C3" s="15">
        <f>SUMIFS(Movimientos!$F:$F,Movimientos!$D:$D,A3,Movimientos!$C:$C,"Gasto",Movimientos!$A:$A,"&gt;="&amp;DATE(Dashboard!$B$3,Dashboard!$B$2,1),Movimientos!$A:$A,"&lt;"&amp;DATE(Dashboard!$B$3,Dashboard!$B$2+1,1))</f>
        <v/>
      </c>
      <c r="D3" s="17">
        <f>IF(B3=0,0,C3/B3)</f>
        <v/>
      </c>
      <c r="E3" s="18">
        <f>IF(D3&gt;1,"Excedido",IF(D3&gt;=0.85,"Alerta","OK"))</f>
        <v/>
      </c>
    </row>
    <row r="4">
      <c r="A4" s="14" t="inlineStr">
        <is>
          <t>Transporte</t>
        </is>
      </c>
      <c r="B4" s="15" t="n">
        <v>120</v>
      </c>
      <c r="C4" s="15">
        <f>SUMIFS(Movimientos!$F:$F,Movimientos!$D:$D,A4,Movimientos!$C:$C,"Gasto",Movimientos!$A:$A,"&gt;="&amp;DATE(Dashboard!$B$3,Dashboard!$B$2,1),Movimientos!$A:$A,"&lt;"&amp;DATE(Dashboard!$B$3,Dashboard!$B$2+1,1))</f>
        <v/>
      </c>
      <c r="D4" s="17">
        <f>IF(B4=0,0,C4/B4)</f>
        <v/>
      </c>
      <c r="E4" s="18">
        <f>IF(D4&gt;1,"Excedido",IF(D4&gt;=0.85,"Alerta","OK"))</f>
        <v/>
      </c>
    </row>
    <row r="5">
      <c r="A5" s="14" t="inlineStr">
        <is>
          <t>Servicios</t>
        </is>
      </c>
      <c r="B5" s="15" t="n">
        <v>150</v>
      </c>
      <c r="C5" s="15">
        <f>SUMIFS(Movimientos!$F:$F,Movimientos!$D:$D,A5,Movimientos!$C:$C,"Gasto",Movimientos!$A:$A,"&gt;="&amp;DATE(Dashboard!$B$3,Dashboard!$B$2,1),Movimientos!$A:$A,"&lt;"&amp;DATE(Dashboard!$B$3,Dashboard!$B$2+1,1))</f>
        <v/>
      </c>
      <c r="D5" s="17">
        <f>IF(B5=0,0,C5/B5)</f>
        <v/>
      </c>
      <c r="E5" s="18">
        <f>IF(D5&gt;1,"Excedido",IF(D5&gt;=0.85,"Alerta","OK"))</f>
        <v/>
      </c>
    </row>
    <row r="6">
      <c r="A6" s="14" t="inlineStr">
        <is>
          <t>Ocio</t>
        </is>
      </c>
      <c r="B6" s="15" t="n">
        <v>100</v>
      </c>
      <c r="C6" s="15">
        <f>SUMIFS(Movimientos!$F:$F,Movimientos!$D:$D,A6,Movimientos!$C:$C,"Gasto",Movimientos!$A:$A,"&gt;="&amp;DATE(Dashboard!$B$3,Dashboard!$B$2,1),Movimientos!$A:$A,"&lt;"&amp;DATE(Dashboard!$B$3,Dashboard!$B$2+1,1))</f>
        <v/>
      </c>
      <c r="D6" s="17">
        <f>IF(B6=0,0,C6/B6)</f>
        <v/>
      </c>
      <c r="E6" s="18">
        <f>IF(D6&gt;1,"Excedido",IF(D6&gt;=0.85,"Alerta","OK"))</f>
        <v/>
      </c>
    </row>
    <row r="7">
      <c r="A7" s="14" t="inlineStr">
        <is>
          <t>Compras</t>
        </is>
      </c>
      <c r="B7" s="15" t="n">
        <v>200</v>
      </c>
      <c r="C7" s="15">
        <f>SUMIFS(Movimientos!$F:$F,Movimientos!$D:$D,A7,Movimientos!$C:$C,"Gasto",Movimientos!$A:$A,"&gt;="&amp;DATE(Dashboard!$B$3,Dashboard!$B$2,1),Movimientos!$A:$A,"&lt;"&amp;DATE(Dashboard!$B$3,Dashboard!$B$2+1,1))</f>
        <v/>
      </c>
      <c r="D7" s="17">
        <f>IF(B7=0,0,C7/B7)</f>
        <v/>
      </c>
      <c r="E7" s="18">
        <f>IF(D7&gt;1,"Excedido",IF(D7&gt;=0.85,"Alerta","OK"))</f>
        <v/>
      </c>
    </row>
  </sheetData>
  <conditionalFormatting sqref="E2:E7">
    <cfRule type="expression" priority="1" dxfId="0">
      <formula>E2="Excedido"</formula>
    </cfRule>
    <cfRule type="expression" priority="2" dxfId="1">
      <formula>E2="Alerta"</formula>
    </cfRule>
    <cfRule type="expression" priority="3" dxfId="2">
      <formula>E2="OK"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</cols>
  <sheetData>
    <row r="1">
      <c r="A1" s="13" t="inlineStr">
        <is>
          <t>Mes</t>
        </is>
      </c>
      <c r="B1" s="13" t="inlineStr">
        <is>
          <t>Ingresos</t>
        </is>
      </c>
      <c r="C1" s="13" t="inlineStr">
        <is>
          <t>Gastos</t>
        </is>
      </c>
      <c r="D1" s="13" t="inlineStr">
        <is>
          <t>Balance</t>
        </is>
      </c>
    </row>
    <row r="2">
      <c r="A2" s="14" t="inlineStr">
        <is>
          <t>May</t>
        </is>
      </c>
      <c r="B2" s="15" t="n">
        <v>2680</v>
      </c>
      <c r="C2" s="15" t="n">
        <v>1920</v>
      </c>
      <c r="D2" s="15">
        <f>B2-C2</f>
        <v/>
      </c>
    </row>
    <row r="3">
      <c r="A3" s="14" t="inlineStr">
        <is>
          <t>Jun</t>
        </is>
      </c>
      <c r="B3" s="15" t="n">
        <v>2750</v>
      </c>
      <c r="C3" s="15" t="n">
        <v>2105</v>
      </c>
      <c r="D3" s="15">
        <f>B3-C3</f>
        <v/>
      </c>
    </row>
    <row r="4">
      <c r="A4" s="14" t="inlineStr">
        <is>
          <t>Jul</t>
        </is>
      </c>
      <c r="B4" s="15" t="n">
        <v>2900</v>
      </c>
      <c r="C4" s="15" t="n">
        <v>1980</v>
      </c>
      <c r="D4" s="15">
        <f>B4-C4</f>
        <v/>
      </c>
    </row>
    <row r="5">
      <c r="A5" s="14" t="inlineStr">
        <is>
          <t>Ago</t>
        </is>
      </c>
      <c r="B5" s="15" t="n">
        <v>2550</v>
      </c>
      <c r="C5" s="15" t="n">
        <v>2240</v>
      </c>
      <c r="D5" s="15">
        <f>B5-C5</f>
        <v/>
      </c>
    </row>
    <row r="6">
      <c r="A6" s="14" t="inlineStr">
        <is>
          <t>Sep</t>
        </is>
      </c>
      <c r="B6" s="15" t="n">
        <v>3100</v>
      </c>
      <c r="C6" s="15" t="n">
        <v>2050</v>
      </c>
      <c r="D6" s="15">
        <f>B6-C6</f>
        <v/>
      </c>
    </row>
    <row r="7">
      <c r="A7" s="14" t="inlineStr">
        <is>
          <t>Oct</t>
        </is>
      </c>
      <c r="B7" s="15" t="n">
        <v>3155.3</v>
      </c>
      <c r="C7" s="15" t="n">
        <v>1218.69</v>
      </c>
      <c r="D7" s="15">
        <f>B7-C7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2026-10-25T04:02:38Z</dcterms:created>
  <dcterms:modified xsi:type="dcterms:W3CDTF">2026-10-25T04:02:38Z</dcterms:modified>
</cp:coreProperties>
</file>